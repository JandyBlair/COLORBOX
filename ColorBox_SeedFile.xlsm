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codeName="ThisWorkbook" defaultThemeVersion="166925"/>
  <mc:AlternateContent xmlns:mc="http://schemas.openxmlformats.org/markup-compatibility/2006">
    <mc:Choice Requires="x15">
      <x15ac:absPath xmlns:x15ac="http://schemas.microsoft.com/office/spreadsheetml/2010/11/ac" url="C:\Users\jandy\OneDrive\Rugs\"/>
    </mc:Choice>
  </mc:AlternateContent>
  <xr:revisionPtr revIDLastSave="0" documentId="13_ncr:1_{4E9C1D71-EB5E-43C0-A3AB-DFF32295F88F}" xr6:coauthVersionLast="47" xr6:coauthVersionMax="47" xr10:uidLastSave="{00000000-0000-0000-0000-000000000000}"/>
  <bookViews>
    <workbookView xWindow="1950" yWindow="1950" windowWidth="21600" windowHeight="11295" xr2:uid="{80AB0A5C-2B73-427C-BBDB-F2B369928EE0}"/>
  </bookViews>
  <sheets>
    <sheet name="Working" sheetId="201" r:id="rId1"/>
    <sheet name="rgbName" sheetId="14" r:id="rId2"/>
    <sheet name="UsedColors" sheetId="138" r:id="rId3"/>
    <sheet name="SwatchList" sheetId="136" r:id="rId4"/>
    <sheet name="ImageFilters" sheetId="151" r:id="rId5"/>
    <sheet name="SYSPARM" sheetId="135" r:id="rId6"/>
    <sheet name="Palette" sheetId="134" r:id="rId7"/>
    <sheet name="Log" sheetId="78" r:id="rId8"/>
    <sheet name="CALLS" sheetId="97" r:id="rId9"/>
    <sheet name="MODULES" sheetId="100" r:id="rId10"/>
    <sheet name="PrintSheet" sheetId="128" r:id="rId11"/>
    <sheet name="LEGEND" sheetId="132" r:id="rId12"/>
  </sheets>
  <definedNames>
    <definedName name="_xlnm._FilterDatabase" localSheetId="8" hidden="1">CALLS!$A$1:$K$1</definedName>
    <definedName name="_xlnm._FilterDatabase" localSheetId="7" hidden="1">Log!$A$1:$D$1002</definedName>
    <definedName name="_xlnm._FilterDatabase" localSheetId="9" hidden="1">MODULES!$A$1:$G$1</definedName>
    <definedName name="_xlnm._FilterDatabase" localSheetId="1" hidden="1">rgbName!$A$1:$GD$220</definedName>
    <definedName name="_xlnm._FilterDatabase" localSheetId="2" hidden="1">UsedColors!$A$1:$C$1</definedName>
    <definedName name="DARK_CONTRASTING_COLOR">rgbName!#REF!</definedName>
    <definedName name="LIGHT_CONTRASTING_COLOR">rgbName!#REF!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 i="151" l="1"/>
  <c r="F1" i="151"/>
  <c r="E1" i="151"/>
  <c r="D1" i="151"/>
  <c r="C1" i="151"/>
  <c r="B1" i="151"/>
  <c r="D53" i="136"/>
  <c r="D52" i="136"/>
  <c r="A52" i="136"/>
  <c r="D51" i="136"/>
  <c r="A51" i="136"/>
  <c r="D50" i="136"/>
  <c r="A50" i="136"/>
  <c r="D49" i="136"/>
  <c r="A49" i="136"/>
  <c r="D48" i="136"/>
  <c r="A48" i="136"/>
  <c r="D47" i="136"/>
  <c r="A47" i="136"/>
  <c r="D46" i="136"/>
  <c r="A46" i="136"/>
  <c r="D45" i="136"/>
  <c r="A45" i="136"/>
  <c r="D44" i="136"/>
  <c r="A44" i="136"/>
  <c r="D43" i="136"/>
  <c r="A43" i="136"/>
  <c r="D42" i="136"/>
  <c r="A42" i="136"/>
  <c r="D41" i="136"/>
  <c r="A41" i="136"/>
  <c r="D40" i="136"/>
  <c r="A40" i="136"/>
  <c r="D39" i="136"/>
  <c r="A39" i="136"/>
  <c r="D38" i="136"/>
  <c r="A38" i="136"/>
  <c r="D37" i="136"/>
  <c r="A37" i="136"/>
  <c r="D36" i="136"/>
  <c r="A36" i="136"/>
  <c r="D35" i="136"/>
  <c r="A35" i="136"/>
  <c r="D34" i="136"/>
  <c r="A34" i="136"/>
  <c r="D33" i="136"/>
  <c r="A33" i="136"/>
  <c r="D32" i="136"/>
  <c r="A32" i="136"/>
  <c r="D31" i="136"/>
  <c r="A31" i="136"/>
  <c r="D30" i="136"/>
  <c r="A30" i="136"/>
  <c r="D29" i="136"/>
  <c r="A29" i="136"/>
  <c r="D28" i="136"/>
  <c r="A28" i="136"/>
  <c r="D27" i="136"/>
  <c r="A27" i="136"/>
  <c r="D26" i="136"/>
  <c r="A26" i="136"/>
  <c r="D25" i="136"/>
  <c r="A25" i="136"/>
  <c r="D24" i="136"/>
  <c r="A24" i="136"/>
  <c r="D23" i="136"/>
  <c r="A23" i="136"/>
  <c r="D22" i="136"/>
  <c r="A22" i="136"/>
  <c r="D21" i="136"/>
  <c r="A21" i="136"/>
  <c r="D20" i="136"/>
  <c r="A20" i="136"/>
  <c r="D19" i="136"/>
  <c r="A19" i="136"/>
  <c r="D18" i="136"/>
  <c r="A18" i="136"/>
  <c r="D17" i="136"/>
  <c r="A17" i="136"/>
  <c r="D16" i="136"/>
  <c r="A16" i="136"/>
  <c r="D15" i="136"/>
  <c r="A15" i="136"/>
  <c r="D14" i="136"/>
  <c r="A14" i="136"/>
  <c r="D13" i="136"/>
  <c r="A13" i="136"/>
  <c r="D12" i="136"/>
  <c r="A12" i="136"/>
  <c r="D11" i="136"/>
  <c r="A11" i="136"/>
  <c r="D10" i="136"/>
  <c r="A10" i="136"/>
  <c r="D9" i="136"/>
  <c r="A9" i="136"/>
  <c r="D8" i="136"/>
  <c r="A8" i="136"/>
  <c r="D7" i="136"/>
  <c r="A7" i="136"/>
  <c r="D6" i="136"/>
  <c r="A6" i="136"/>
  <c r="D5" i="136"/>
  <c r="A5" i="136"/>
  <c r="D4" i="136"/>
  <c r="A4" i="136"/>
  <c r="D3" i="136"/>
  <c r="A3" i="136"/>
  <c r="D2" i="136"/>
  <c r="E220" i="14"/>
  <c r="E219" i="14"/>
  <c r="E218" i="14"/>
  <c r="E217" i="14"/>
  <c r="E216" i="14"/>
  <c r="E215" i="14"/>
  <c r="E214" i="14"/>
  <c r="E213" i="14"/>
  <c r="E212" i="14"/>
  <c r="E211" i="14"/>
  <c r="E210" i="14"/>
  <c r="E209" i="14"/>
  <c r="E208" i="14"/>
  <c r="E207" i="14"/>
  <c r="E206" i="14"/>
  <c r="E205" i="14"/>
  <c r="E204" i="14"/>
  <c r="E203" i="14"/>
  <c r="E202" i="14"/>
  <c r="E201" i="14"/>
  <c r="E200" i="14"/>
  <c r="E199" i="14"/>
  <c r="E198" i="14"/>
  <c r="E197" i="14"/>
  <c r="E196" i="14"/>
  <c r="E195" i="14"/>
  <c r="E194" i="14"/>
  <c r="E193" i="14"/>
  <c r="E192" i="14"/>
  <c r="E191" i="14"/>
  <c r="E190" i="14"/>
  <c r="E189" i="14"/>
  <c r="E188" i="14"/>
  <c r="E187" i="14"/>
  <c r="E186" i="14"/>
  <c r="E185" i="14"/>
  <c r="E184" i="14"/>
  <c r="E183" i="14"/>
  <c r="E182" i="14"/>
  <c r="E181" i="14"/>
  <c r="E180" i="14"/>
  <c r="E179" i="14"/>
  <c r="E178" i="14"/>
  <c r="E177" i="14"/>
  <c r="E176" i="14"/>
  <c r="E175" i="14"/>
  <c r="E174" i="14"/>
  <c r="E173" i="14"/>
  <c r="E172" i="14"/>
  <c r="E171" i="14"/>
  <c r="E170" i="14"/>
  <c r="E169" i="14"/>
  <c r="E168" i="14"/>
  <c r="E167" i="14"/>
  <c r="E166" i="14"/>
  <c r="E165" i="14"/>
  <c r="E164" i="14"/>
  <c r="E163" i="14"/>
  <c r="E162" i="14"/>
  <c r="E161" i="14"/>
  <c r="E160" i="14"/>
  <c r="E159" i="14"/>
  <c r="E158" i="14"/>
  <c r="E157" i="14"/>
  <c r="E156" i="14"/>
  <c r="E155" i="14"/>
  <c r="E154" i="14"/>
  <c r="E153" i="14"/>
  <c r="E152" i="14"/>
  <c r="E151" i="14"/>
  <c r="E150" i="14"/>
  <c r="E149" i="14"/>
  <c r="E148" i="14"/>
  <c r="E147" i="14"/>
  <c r="E146" i="14"/>
  <c r="E145" i="14"/>
  <c r="E144" i="14"/>
  <c r="E143" i="14"/>
  <c r="E142" i="14"/>
  <c r="E141" i="14"/>
  <c r="E140" i="14"/>
  <c r="E139" i="14"/>
  <c r="E138" i="14"/>
  <c r="E137" i="14"/>
  <c r="E136" i="14"/>
  <c r="E135" i="14"/>
  <c r="E134" i="14"/>
  <c r="E133" i="14"/>
  <c r="E132" i="14"/>
  <c r="E131" i="14"/>
  <c r="E130" i="14"/>
  <c r="E129" i="14"/>
  <c r="E128" i="14"/>
  <c r="E127" i="14"/>
  <c r="E126" i="14"/>
  <c r="E125" i="14"/>
  <c r="E124" i="14"/>
  <c r="E123" i="14"/>
  <c r="E122" i="14"/>
  <c r="E121" i="14"/>
  <c r="E120" i="14"/>
  <c r="E119" i="14"/>
  <c r="E118" i="14"/>
  <c r="E117" i="14"/>
  <c r="E116" i="14"/>
  <c r="E115" i="14"/>
  <c r="E114" i="14"/>
  <c r="E113" i="14"/>
  <c r="E112" i="14"/>
  <c r="E111" i="14"/>
  <c r="E110" i="14"/>
  <c r="E109" i="14"/>
  <c r="E108" i="14"/>
  <c r="E107" i="14"/>
  <c r="E106" i="14"/>
  <c r="E105" i="14"/>
  <c r="E104" i="14"/>
  <c r="E103" i="14"/>
  <c r="E102" i="14"/>
  <c r="E101" i="14"/>
  <c r="E100" i="14"/>
  <c r="E99" i="14"/>
  <c r="E98" i="14"/>
  <c r="E97" i="14"/>
  <c r="E96" i="14"/>
  <c r="E95" i="14"/>
  <c r="E94" i="14"/>
  <c r="E93" i="14"/>
  <c r="E92" i="14"/>
  <c r="E91" i="14"/>
  <c r="E90" i="14"/>
  <c r="E89" i="14"/>
  <c r="E88" i="14"/>
  <c r="E87" i="14"/>
  <c r="E86" i="14"/>
  <c r="E85" i="14"/>
  <c r="E84" i="14"/>
  <c r="E83" i="14"/>
  <c r="E82" i="14"/>
  <c r="E81" i="14"/>
  <c r="E80" i="14"/>
  <c r="E79" i="14"/>
  <c r="E78" i="14"/>
  <c r="E77" i="14"/>
  <c r="E76" i="14"/>
  <c r="E75" i="14"/>
  <c r="E74" i="14"/>
  <c r="E73" i="14"/>
  <c r="E72" i="14"/>
  <c r="E71" i="14"/>
  <c r="E70" i="14"/>
  <c r="E69" i="14"/>
  <c r="E68" i="14"/>
  <c r="E67" i="14"/>
  <c r="E66" i="14"/>
  <c r="E65" i="14"/>
  <c r="E64" i="14"/>
  <c r="E63" i="14"/>
  <c r="E62" i="14"/>
  <c r="E61" i="14"/>
  <c r="E60" i="14"/>
  <c r="E59" i="14"/>
  <c r="E58" i="14"/>
  <c r="E57" i="14"/>
  <c r="E56" i="14"/>
  <c r="E55" i="14"/>
  <c r="E54" i="14"/>
  <c r="E53" i="14"/>
  <c r="E52" i="14"/>
  <c r="E51" i="14"/>
  <c r="E50" i="14"/>
  <c r="E49" i="14"/>
  <c r="E48" i="14"/>
  <c r="E47" i="14"/>
  <c r="E46" i="14"/>
  <c r="E45" i="14"/>
  <c r="E44" i="14"/>
  <c r="E43" i="14"/>
  <c r="E42" i="14"/>
  <c r="E41" i="14"/>
  <c r="E40" i="14"/>
  <c r="E39" i="14"/>
  <c r="E38" i="14"/>
  <c r="E37" i="14"/>
  <c r="E36" i="14"/>
  <c r="E35" i="14"/>
  <c r="E34" i="14"/>
  <c r="E33" i="14"/>
  <c r="E32" i="14"/>
  <c r="E31" i="14"/>
  <c r="E30" i="14"/>
  <c r="E29" i="14"/>
  <c r="E28" i="14"/>
  <c r="E27" i="14"/>
  <c r="E26" i="14"/>
  <c r="E25" i="14"/>
  <c r="E24" i="14"/>
  <c r="E23" i="14"/>
  <c r="E22" i="14"/>
  <c r="E21" i="14"/>
  <c r="E20" i="14"/>
  <c r="E19" i="14"/>
  <c r="E18" i="14"/>
  <c r="E17" i="14"/>
  <c r="E16" i="14"/>
  <c r="E15" i="14"/>
  <c r="E14" i="14"/>
  <c r="E13" i="14"/>
  <c r="E12" i="14"/>
  <c r="E11" i="14"/>
  <c r="E10" i="14"/>
  <c r="E9" i="14"/>
  <c r="E8" i="14"/>
  <c r="E7" i="14"/>
  <c r="E6" i="14"/>
  <c r="E5" i="14"/>
  <c r="E4" i="14"/>
  <c r="E3" i="14"/>
  <c r="E2" i="14"/>
</calcChain>
</file>

<file path=xl/sharedStrings.xml><?xml version="1.0" encoding="utf-8"?>
<sst xmlns="http://schemas.openxmlformats.org/spreadsheetml/2006/main" count="7962" uniqueCount="4443">
  <si>
    <t>Name</t>
  </si>
  <si>
    <t>Value</t>
  </si>
  <si>
    <t>Description</t>
  </si>
  <si>
    <t>rgbMaroon</t>
  </si>
  <si>
    <t>Maroon</t>
  </si>
  <si>
    <t>Dark Red</t>
  </si>
  <si>
    <t>Red</t>
  </si>
  <si>
    <t>Orange Red</t>
  </si>
  <si>
    <t>rgbDarkGreen</t>
  </si>
  <si>
    <t>Dark Green</t>
  </si>
  <si>
    <t>rgbGreen</t>
  </si>
  <si>
    <t>Green</t>
  </si>
  <si>
    <t>rgbOlive</t>
  </si>
  <si>
    <t>Olive</t>
  </si>
  <si>
    <t>rgbDarkOrange</t>
  </si>
  <si>
    <t>Dark Orange</t>
  </si>
  <si>
    <t>rgbOrange</t>
  </si>
  <si>
    <t>Orange</t>
  </si>
  <si>
    <t>Gold</t>
  </si>
  <si>
    <t>rgbLawnGreen</t>
  </si>
  <si>
    <t>Lawn Green</t>
  </si>
  <si>
    <t>Lime</t>
  </si>
  <si>
    <t>rgbChartreuse</t>
  </si>
  <si>
    <t>Chartreuse</t>
  </si>
  <si>
    <t>rgbYellow</t>
  </si>
  <si>
    <t>Yellow</t>
  </si>
  <si>
    <t>Dark Goldenrod</t>
  </si>
  <si>
    <t>Goldenrod</t>
  </si>
  <si>
    <t>rgbFireBrick</t>
  </si>
  <si>
    <t>Fire Brick</t>
  </si>
  <si>
    <t>Forest Green</t>
  </si>
  <si>
    <t>rgbOliveDrab</t>
  </si>
  <si>
    <t>Olive Drab</t>
  </si>
  <si>
    <t>rgbBrown</t>
  </si>
  <si>
    <t>Brown</t>
  </si>
  <si>
    <t>rgbSienna</t>
  </si>
  <si>
    <t>Sienna</t>
  </si>
  <si>
    <t>rgbDarkOliveGreen</t>
  </si>
  <si>
    <t>Dark Olive Green</t>
  </si>
  <si>
    <t>rgbGreenYellow</t>
  </si>
  <si>
    <t>Green Yellow</t>
  </si>
  <si>
    <t>Lime Green</t>
  </si>
  <si>
    <t>rgbYellowGreen</t>
  </si>
  <si>
    <t>rgbCrimson</t>
  </si>
  <si>
    <t>Crimson</t>
  </si>
  <si>
    <t>rgbPeru</t>
  </si>
  <si>
    <t>Peru</t>
  </si>
  <si>
    <t>rgbTomato</t>
  </si>
  <si>
    <t>Tomato</t>
  </si>
  <si>
    <t>rgbDarkSlateGray</t>
  </si>
  <si>
    <t>Dark Slate Gray</t>
  </si>
  <si>
    <t>rgbDarkSlateGrey</t>
  </si>
  <si>
    <t>Dark Slate Grey</t>
  </si>
  <si>
    <t>Coral</t>
  </si>
  <si>
    <t>Sea Green</t>
  </si>
  <si>
    <t>Indian Red</t>
  </si>
  <si>
    <t>rgbSandyBrown</t>
  </si>
  <si>
    <t>Sandy Brown</t>
  </si>
  <si>
    <t>rgbDimGray</t>
  </si>
  <si>
    <t>Dim Gray</t>
  </si>
  <si>
    <t>rgbDimGrey</t>
  </si>
  <si>
    <t>Dim Grey</t>
  </si>
  <si>
    <t>rgbDarkKhaki</t>
  </si>
  <si>
    <t>Dark Khaki</t>
  </si>
  <si>
    <t>Pale Goldenrod</t>
  </si>
  <si>
    <t>Medium Sea Green</t>
  </si>
  <si>
    <t>Salmon</t>
  </si>
  <si>
    <t>Dark Salmon</t>
  </si>
  <si>
    <t>Light Salmon</t>
  </si>
  <si>
    <t>rgbSpringGreen</t>
  </si>
  <si>
    <t>Spring Green</t>
  </si>
  <si>
    <t>rgbNavy</t>
  </si>
  <si>
    <t>Navy</t>
  </si>
  <si>
    <t>Purple</t>
  </si>
  <si>
    <t>Teal</t>
  </si>
  <si>
    <t>rgbGray</t>
  </si>
  <si>
    <t>Gray</t>
  </si>
  <si>
    <t>rgbGrey</t>
  </si>
  <si>
    <t>Grey</t>
  </si>
  <si>
    <t>Light Coral</t>
  </si>
  <si>
    <t>rgbIndigo</t>
  </si>
  <si>
    <t>Indigo</t>
  </si>
  <si>
    <t>Medium Violet Red</t>
  </si>
  <si>
    <t>Burly Wood</t>
  </si>
  <si>
    <t>rgbDarkMagenta</t>
  </si>
  <si>
    <t>Dark Magenta</t>
  </si>
  <si>
    <t>rgbDarkCyan</t>
  </si>
  <si>
    <t>Dark Cyan</t>
  </si>
  <si>
    <t>rgbLightCyan</t>
  </si>
  <si>
    <t>Light Cyan</t>
  </si>
  <si>
    <t>Tan</t>
  </si>
  <si>
    <t>rgbKhaki</t>
  </si>
  <si>
    <t>Khaki</t>
  </si>
  <si>
    <t>rgbRosyBrown</t>
  </si>
  <si>
    <t>Rosy Brown</t>
  </si>
  <si>
    <t>Dark Sea Green</t>
  </si>
  <si>
    <t>rgbSlateGray</t>
  </si>
  <si>
    <t>Slate Gray</t>
  </si>
  <si>
    <t>rgbLightGreen</t>
  </si>
  <si>
    <t>Light Green</t>
  </si>
  <si>
    <t>Deep Pink</t>
  </si>
  <si>
    <t>Pale Violet Red</t>
  </si>
  <si>
    <t>Pale Green</t>
  </si>
  <si>
    <t>rgbLightSlateGray</t>
  </si>
  <si>
    <t>Light Slate Gray</t>
  </si>
  <si>
    <t>rgbMediumSpringGreen</t>
  </si>
  <si>
    <t>Medium Spring Green</t>
  </si>
  <si>
    <t>rgbDarkGray</t>
  </si>
  <si>
    <t>Dark Gray</t>
  </si>
  <si>
    <t>rgbDarkGrey</t>
  </si>
  <si>
    <t>Dark Grey</t>
  </si>
  <si>
    <t>Light Sea Green</t>
  </si>
  <si>
    <t>rgbMediumAquamarine</t>
  </si>
  <si>
    <t>Medium Aquamarine</t>
  </si>
  <si>
    <t>Navajo White</t>
  </si>
  <si>
    <t>rgbWheat</t>
  </si>
  <si>
    <t>Wheat</t>
  </si>
  <si>
    <t>Hot Pink</t>
  </si>
  <si>
    <t>rgbMoccasin</t>
  </si>
  <si>
    <t>Moccasin</t>
  </si>
  <si>
    <t>rgbPeachPuff</t>
  </si>
  <si>
    <t>Peach Puff</t>
  </si>
  <si>
    <t>rgbSilver</t>
  </si>
  <si>
    <t>Silver</t>
  </si>
  <si>
    <t>Light Pink</t>
  </si>
  <si>
    <t>rgbBisque</t>
  </si>
  <si>
    <t>Bisque</t>
  </si>
  <si>
    <t>Pink</t>
  </si>
  <si>
    <t>rgbDarkOrchid</t>
  </si>
  <si>
    <t>Dark Orchid</t>
  </si>
  <si>
    <t>rgbMediumTurquoise</t>
  </si>
  <si>
    <t>Medium Turquoise</t>
  </si>
  <si>
    <t>rgbBlanchedAlmond</t>
  </si>
  <si>
    <t>Blanched Almond</t>
  </si>
  <si>
    <t>rgbLemonChiffon</t>
  </si>
  <si>
    <t>Lemon Chiffon</t>
  </si>
  <si>
    <t>rgbTurquoise</t>
  </si>
  <si>
    <t>Turquoise</t>
  </si>
  <si>
    <t>rgbDarkTurquoise</t>
  </si>
  <si>
    <t>Dark Turquoise</t>
  </si>
  <si>
    <t>LightGoldenrodYellow</t>
  </si>
  <si>
    <t>rgbDarkViolet</t>
  </si>
  <si>
    <t>Dark Violet</t>
  </si>
  <si>
    <t>rgbMediumOrchid</t>
  </si>
  <si>
    <t>Medium Orchid</t>
  </si>
  <si>
    <t>rgbLightGray</t>
  </si>
  <si>
    <t>Light Gray</t>
  </si>
  <si>
    <t>rgbLightGrey</t>
  </si>
  <si>
    <t>Light Grey</t>
  </si>
  <si>
    <t>rgbAquamarine</t>
  </si>
  <si>
    <t>Aquamarine</t>
  </si>
  <si>
    <t>rgbPapayaWhip</t>
  </si>
  <si>
    <t>Papaya Whip</t>
  </si>
  <si>
    <t>rgbOrchid</t>
  </si>
  <si>
    <t>Orchid</t>
  </si>
  <si>
    <t>rgbAntiqueWhite</t>
  </si>
  <si>
    <t>Antique White</t>
  </si>
  <si>
    <t>rgbThistle</t>
  </si>
  <si>
    <t>Thistle</t>
  </si>
  <si>
    <t>Medium Purple</t>
  </si>
  <si>
    <t>rgbGainsboro</t>
  </si>
  <si>
    <t>Gainsboro</t>
  </si>
  <si>
    <t>rgbBeige</t>
  </si>
  <si>
    <t>Beige</t>
  </si>
  <si>
    <t>Cornsilk</t>
  </si>
  <si>
    <t>rgbPlum</t>
  </si>
  <si>
    <t>Plum</t>
  </si>
  <si>
    <t>rgbLightYellow</t>
  </si>
  <si>
    <t>Light Yellow</t>
  </si>
  <si>
    <t>Misty Rose</t>
  </si>
  <si>
    <t>rgbLinen</t>
  </si>
  <si>
    <t>Linen</t>
  </si>
  <si>
    <t>rgbOldLace</t>
  </si>
  <si>
    <t>Old Lace</t>
  </si>
  <si>
    <t>rgbViolet</t>
  </si>
  <si>
    <t>Violet</t>
  </si>
  <si>
    <t>Pale Turquoise</t>
  </si>
  <si>
    <t>Seashell</t>
  </si>
  <si>
    <t>rgbFloralWhite</t>
  </si>
  <si>
    <t>Floral White</t>
  </si>
  <si>
    <t>rgbHoneydew</t>
  </si>
  <si>
    <t>Honeydew</t>
  </si>
  <si>
    <t>rgbIvory</t>
  </si>
  <si>
    <t>Ivory</t>
  </si>
  <si>
    <t>rgbLavenderBlush</t>
  </si>
  <si>
    <t>Lavender Blush</t>
  </si>
  <si>
    <t>rgbWhiteSmoke</t>
  </si>
  <si>
    <t>White Smoke</t>
  </si>
  <si>
    <t>rgbLavender</t>
  </si>
  <si>
    <t>Lavender</t>
  </si>
  <si>
    <t>rgbSnow</t>
  </si>
  <si>
    <t>Snow</t>
  </si>
  <si>
    <t>rgbMintCream</t>
  </si>
  <si>
    <t>Mint Cream</t>
  </si>
  <si>
    <t>Blue</t>
  </si>
  <si>
    <t>rgbFuchsia</t>
  </si>
  <si>
    <t>Fuchsia</t>
  </si>
  <si>
    <t>rgbGhostWhite</t>
  </si>
  <si>
    <t>Ghost White</t>
  </si>
  <si>
    <t>rgbAqua</t>
  </si>
  <si>
    <t>Aqua</t>
  </si>
  <si>
    <t>rgbAzure</t>
  </si>
  <si>
    <t>Azure</t>
  </si>
  <si>
    <t>rgbWhite</t>
  </si>
  <si>
    <t>White</t>
  </si>
  <si>
    <t>Character</t>
  </si>
  <si>
    <t>Number</t>
  </si>
  <si>
    <t>h</t>
  </si>
  <si>
    <t>red</t>
  </si>
  <si>
    <t>orange</t>
  </si>
  <si>
    <t>green</t>
  </si>
  <si>
    <t>brown</t>
  </si>
  <si>
    <t>blue</t>
  </si>
  <si>
    <t>purple</t>
  </si>
  <si>
    <t>pink</t>
  </si>
  <si>
    <t>Class</t>
  </si>
  <si>
    <t>sample 1</t>
  </si>
  <si>
    <t>A</t>
  </si>
  <si>
    <t>D</t>
  </si>
  <si>
    <t>L</t>
  </si>
  <si>
    <t>K</t>
  </si>
  <si>
    <t>G</t>
  </si>
  <si>
    <t>P</t>
  </si>
  <si>
    <t>O</t>
  </si>
  <si>
    <t>F</t>
  </si>
  <si>
    <t>N</t>
  </si>
  <si>
    <t>M</t>
  </si>
  <si>
    <t>C</t>
  </si>
  <si>
    <t>E</t>
  </si>
  <si>
    <t>Q</t>
  </si>
  <si>
    <t>I</t>
  </si>
  <si>
    <t>J</t>
  </si>
  <si>
    <t>H</t>
  </si>
  <si>
    <t>B</t>
  </si>
  <si>
    <t>R</t>
  </si>
  <si>
    <t>X</t>
  </si>
  <si>
    <t>rgbRaisinBlack</t>
  </si>
  <si>
    <t>Raisin Black</t>
  </si>
  <si>
    <t>S</t>
  </si>
  <si>
    <t>T</t>
  </si>
  <si>
    <t>l</t>
  </si>
  <si>
    <t>d</t>
  </si>
  <si>
    <t>a</t>
  </si>
  <si>
    <t>b</t>
  </si>
  <si>
    <t>i</t>
  </si>
  <si>
    <t>o</t>
  </si>
  <si>
    <t>g</t>
  </si>
  <si>
    <t>Counts</t>
  </si>
  <si>
    <t>f</t>
  </si>
  <si>
    <t>c</t>
  </si>
  <si>
    <t>Y</t>
  </si>
  <si>
    <t>Z</t>
  </si>
  <si>
    <t>m</t>
  </si>
  <si>
    <t>k</t>
  </si>
  <si>
    <t>W</t>
  </si>
  <si>
    <t>V</t>
  </si>
  <si>
    <t>U</t>
  </si>
  <si>
    <t>e</t>
  </si>
  <si>
    <t>j</t>
  </si>
  <si>
    <t>n</t>
  </si>
  <si>
    <t xml:space="preserve">SHEET_SWATCH ---&gt;
Index </t>
  </si>
  <si>
    <t>DUPE?</t>
  </si>
  <si>
    <t>Brightness</t>
  </si>
  <si>
    <t>GRID_WIDTH</t>
  </si>
  <si>
    <t>GRID_DEPTH</t>
  </si>
  <si>
    <t>https://htmlcolorcodes.com/color-picker/</t>
  </si>
  <si>
    <t>DarkBrown</t>
  </si>
  <si>
    <t>JABCoffeeBean</t>
  </si>
  <si>
    <t>Coffee Bean</t>
  </si>
  <si>
    <t>DarkContrastingColor</t>
  </si>
  <si>
    <t>LightContrastingColor</t>
  </si>
  <si>
    <t>Mahogony</t>
  </si>
  <si>
    <t xml:space="preserve">excel rgb comma sep </t>
  </si>
  <si>
    <t>herPewter</t>
  </si>
  <si>
    <t>herWhite</t>
  </si>
  <si>
    <t>herEcru</t>
  </si>
  <si>
    <t>herGrey</t>
  </si>
  <si>
    <t>jabDarkBrown</t>
  </si>
  <si>
    <t>herMediumGrey</t>
  </si>
  <si>
    <t>herMediumBrown</t>
  </si>
  <si>
    <t>herBrown</t>
  </si>
  <si>
    <t>herCoffee</t>
  </si>
  <si>
    <t>herBrightYellow</t>
  </si>
  <si>
    <t>herYellow</t>
  </si>
  <si>
    <t>herDarkGreen</t>
  </si>
  <si>
    <t>HELP_FILE</t>
  </si>
  <si>
    <t>v</t>
  </si>
  <si>
    <t>p</t>
  </si>
  <si>
    <t>q</t>
  </si>
  <si>
    <t>r</t>
  </si>
  <si>
    <t>s</t>
  </si>
  <si>
    <t>t</t>
  </si>
  <si>
    <t>u</t>
  </si>
  <si>
    <t>w</t>
  </si>
  <si>
    <t>x</t>
  </si>
  <si>
    <t>y</t>
  </si>
  <si>
    <t>z</t>
  </si>
  <si>
    <t>ColorName</t>
  </si>
  <si>
    <r>
      <t xml:space="preserve">Alice </t>
    </r>
    <r>
      <rPr>
        <b/>
        <sz val="10"/>
        <color rgb="FF8B0000"/>
        <rFont val="Calibri"/>
        <family val="2"/>
        <scheme val="minor"/>
      </rPr>
      <t>Blue</t>
    </r>
  </si>
  <si>
    <r>
      <t>Blue</t>
    </r>
    <r>
      <rPr>
        <sz val="10"/>
        <color rgb="FF000000"/>
        <rFont val="Calibri"/>
        <family val="2"/>
        <scheme val="minor"/>
      </rPr>
      <t xml:space="preserve"> Violet</t>
    </r>
  </si>
  <si>
    <r>
      <t xml:space="preserve">Cadet </t>
    </r>
    <r>
      <rPr>
        <b/>
        <sz val="10"/>
        <color rgb="FF8B0000"/>
        <rFont val="Calibri"/>
        <family val="2"/>
        <scheme val="minor"/>
      </rPr>
      <t>Blue</t>
    </r>
  </si>
  <si>
    <r>
      <t xml:space="preserve">Cornflower </t>
    </r>
    <r>
      <rPr>
        <b/>
        <sz val="10"/>
        <color rgb="FF8B0000"/>
        <rFont val="Calibri"/>
        <family val="2"/>
        <scheme val="minor"/>
      </rPr>
      <t>Blue</t>
    </r>
  </si>
  <si>
    <r>
      <t xml:space="preserve">Dark </t>
    </r>
    <r>
      <rPr>
        <b/>
        <sz val="10"/>
        <color rgb="FF8B0000"/>
        <rFont val="Calibri"/>
        <family val="2"/>
        <scheme val="minor"/>
      </rPr>
      <t>Blue</t>
    </r>
  </si>
  <si>
    <r>
      <t xml:space="preserve">Dark Slate </t>
    </r>
    <r>
      <rPr>
        <b/>
        <sz val="10"/>
        <color rgb="FF8B0000"/>
        <rFont val="Calibri"/>
        <family val="2"/>
        <scheme val="minor"/>
      </rPr>
      <t>Blue</t>
    </r>
  </si>
  <si>
    <r>
      <t xml:space="preserve">Deep Sky </t>
    </r>
    <r>
      <rPr>
        <b/>
        <sz val="10"/>
        <color rgb="FF8B0000"/>
        <rFont val="Calibri"/>
        <family val="2"/>
        <scheme val="minor"/>
      </rPr>
      <t>Blue</t>
    </r>
  </si>
  <si>
    <r>
      <t xml:space="preserve">Dodger </t>
    </r>
    <r>
      <rPr>
        <b/>
        <sz val="10"/>
        <color rgb="FF8B0000"/>
        <rFont val="Calibri"/>
        <family val="2"/>
        <scheme val="minor"/>
      </rPr>
      <t>Blue</t>
    </r>
  </si>
  <si>
    <r>
      <t xml:space="preserve">Light </t>
    </r>
    <r>
      <rPr>
        <b/>
        <sz val="10"/>
        <color rgb="FF8B0000"/>
        <rFont val="Calibri"/>
        <family val="2"/>
        <scheme val="minor"/>
      </rPr>
      <t>Blue</t>
    </r>
  </si>
  <si>
    <r>
      <t xml:space="preserve">Light Sky </t>
    </r>
    <r>
      <rPr>
        <b/>
        <sz val="10"/>
        <color rgb="FF8B0000"/>
        <rFont val="Calibri"/>
        <family val="2"/>
        <scheme val="minor"/>
      </rPr>
      <t>Blue</t>
    </r>
  </si>
  <si>
    <r>
      <t xml:space="preserve">Light Steel </t>
    </r>
    <r>
      <rPr>
        <b/>
        <sz val="10"/>
        <color rgb="FF8B0000"/>
        <rFont val="Calibri"/>
        <family val="2"/>
        <scheme val="minor"/>
      </rPr>
      <t>Blue</t>
    </r>
  </si>
  <si>
    <r>
      <t xml:space="preserve">Medium </t>
    </r>
    <r>
      <rPr>
        <b/>
        <sz val="10"/>
        <color rgb="FF8B0000"/>
        <rFont val="Calibri"/>
        <family val="2"/>
        <scheme val="minor"/>
      </rPr>
      <t>Blue</t>
    </r>
  </si>
  <si>
    <r>
      <t xml:space="preserve">Medium Slate </t>
    </r>
    <r>
      <rPr>
        <b/>
        <sz val="10"/>
        <color rgb="FF8B0000"/>
        <rFont val="Calibri"/>
        <family val="2"/>
        <scheme val="minor"/>
      </rPr>
      <t>Blue</t>
    </r>
  </si>
  <si>
    <r>
      <t xml:space="preserve">Midnight </t>
    </r>
    <r>
      <rPr>
        <b/>
        <sz val="10"/>
        <color rgb="FF8B0000"/>
        <rFont val="Calibri"/>
        <family val="2"/>
        <scheme val="minor"/>
      </rPr>
      <t>Blue</t>
    </r>
  </si>
  <si>
    <r>
      <t xml:space="preserve">Navy </t>
    </r>
    <r>
      <rPr>
        <b/>
        <sz val="10"/>
        <color rgb="FF8B0000"/>
        <rFont val="Calibri"/>
        <family val="2"/>
        <scheme val="minor"/>
      </rPr>
      <t>Blue</t>
    </r>
  </si>
  <si>
    <r>
      <t xml:space="preserve">Powder </t>
    </r>
    <r>
      <rPr>
        <b/>
        <sz val="10"/>
        <color rgb="FF8B0000"/>
        <rFont val="Calibri"/>
        <family val="2"/>
        <scheme val="minor"/>
      </rPr>
      <t>Blue</t>
    </r>
  </si>
  <si>
    <r>
      <t xml:space="preserve">Royal </t>
    </r>
    <r>
      <rPr>
        <b/>
        <sz val="10"/>
        <color rgb="FF8B0000"/>
        <rFont val="Calibri"/>
        <family val="2"/>
        <scheme val="minor"/>
      </rPr>
      <t>Blue</t>
    </r>
  </si>
  <si>
    <r>
      <t xml:space="preserve">Sky </t>
    </r>
    <r>
      <rPr>
        <b/>
        <sz val="10"/>
        <color rgb="FF8B0000"/>
        <rFont val="Calibri"/>
        <family val="2"/>
        <scheme val="minor"/>
      </rPr>
      <t>Blue</t>
    </r>
  </si>
  <si>
    <r>
      <t xml:space="preserve">Slate </t>
    </r>
    <r>
      <rPr>
        <b/>
        <sz val="10"/>
        <color rgb="FF8B0000"/>
        <rFont val="Calibri"/>
        <family val="2"/>
        <scheme val="minor"/>
      </rPr>
      <t>Blue</t>
    </r>
  </si>
  <si>
    <r>
      <t xml:space="preserve">Steel </t>
    </r>
    <r>
      <rPr>
        <b/>
        <sz val="10"/>
        <color rgb="FF8B0000"/>
        <rFont val="Calibri"/>
        <family val="2"/>
        <scheme val="minor"/>
      </rPr>
      <t>Blue</t>
    </r>
  </si>
  <si>
    <t>White her-0001</t>
  </si>
  <si>
    <t>Ecru her-0002</t>
  </si>
  <si>
    <t>Yellow her-0006</t>
  </si>
  <si>
    <t>herBronze</t>
  </si>
  <si>
    <t>Bronze her-0023</t>
  </si>
  <si>
    <t>herMahogany</t>
  </si>
  <si>
    <t>Mahogany her-0024</t>
  </si>
  <si>
    <t>Brown her-0025</t>
  </si>
  <si>
    <t>Coffee her-0026</t>
  </si>
  <si>
    <t>herOrange</t>
  </si>
  <si>
    <t>Orange her-0033</t>
  </si>
  <si>
    <t>Pink her-0043</t>
  </si>
  <si>
    <t>Rose her-0045</t>
  </si>
  <si>
    <t>Red her-0054</t>
  </si>
  <si>
    <t>Burgundy her-0056</t>
  </si>
  <si>
    <t>herLavender</t>
  </si>
  <si>
    <t>Lavender her-0063</t>
  </si>
  <si>
    <t>Cornflower her-0074</t>
  </si>
  <si>
    <t>Lime her-0084</t>
  </si>
  <si>
    <t>Rainforest her-0086</t>
  </si>
  <si>
    <t>herGreen</t>
  </si>
  <si>
    <t>Green her-0093</t>
  </si>
  <si>
    <t>Grey her-0110</t>
  </si>
  <si>
    <t>Brass her-0112</t>
  </si>
  <si>
    <t>Pewter her-0114</t>
  </si>
  <si>
    <t>herBlack</t>
  </si>
  <si>
    <t>Black her-0115</t>
  </si>
  <si>
    <t>Salmon her-0118</t>
  </si>
  <si>
    <t>Rosewood her-0119</t>
  </si>
  <si>
    <t>herVanilla</t>
  </si>
  <si>
    <t>Vanilla her-0123</t>
  </si>
  <si>
    <t>herTurquoise</t>
  </si>
  <si>
    <t>Turquoise her-0126</t>
  </si>
  <si>
    <t>herPaleYellow</t>
  </si>
  <si>
    <t>PaleYellow her-0003</t>
  </si>
  <si>
    <t>herSunnyYellow</t>
  </si>
  <si>
    <t>SunnyYellow her-0004</t>
  </si>
  <si>
    <t>BrightYellow her-0005</t>
  </si>
  <si>
    <t>herStrawYellow</t>
  </si>
  <si>
    <t>StrawYellow her-0012</t>
  </si>
  <si>
    <t>herLightStraw</t>
  </si>
  <si>
    <t>LightStraw her-0013</t>
  </si>
  <si>
    <t>MediumGold her-0014</t>
  </si>
  <si>
    <t>PaleGold her-0015</t>
  </si>
  <si>
    <t>herDarkBeige</t>
  </si>
  <si>
    <t>DarkBeige her-0016</t>
  </si>
  <si>
    <t>DarkTan her-0022</t>
  </si>
  <si>
    <t>herLightOrange</t>
  </si>
  <si>
    <t>LightOrange her-0032</t>
  </si>
  <si>
    <t>BurntOrange her-0034</t>
  </si>
  <si>
    <t>DarkCoral her-0035</t>
  </si>
  <si>
    <t>PalePeach her-0041</t>
  </si>
  <si>
    <t>PalePink her-0042</t>
  </si>
  <si>
    <t>herLightRose</t>
  </si>
  <si>
    <t>LightRose her-0044</t>
  </si>
  <si>
    <t>DarkPink her-0046</t>
  </si>
  <si>
    <t>DarkRose her-0052</t>
  </si>
  <si>
    <t>BrightRed her-0053</t>
  </si>
  <si>
    <t>DarkRed her-0055</t>
  </si>
  <si>
    <t>herLightLavender</t>
  </si>
  <si>
    <t>LightLavender her-0062</t>
  </si>
  <si>
    <t>herDarkLavender</t>
  </si>
  <si>
    <t>DarkLavender her-0064</t>
  </si>
  <si>
    <t>DarkPurple her-0065</t>
  </si>
  <si>
    <t>herVeryLightBlue</t>
  </si>
  <si>
    <t>VeryLightBlue her-0071</t>
  </si>
  <si>
    <t>LightBlue her-0072</t>
  </si>
  <si>
    <t>LightTeal her-0073</t>
  </si>
  <si>
    <t>DarkCornflower her-0075</t>
  </si>
  <si>
    <t>BlueViolet her-0076</t>
  </si>
  <si>
    <t>PaleGreen her-0082</t>
  </si>
  <si>
    <t>PaleSage her-0083</t>
  </si>
  <si>
    <t>herSpringGreen</t>
  </si>
  <si>
    <t>SpringGreen her-0085</t>
  </si>
  <si>
    <t>herMossGreen</t>
  </si>
  <si>
    <t>MossGreen her-0087</t>
  </si>
  <si>
    <t>herKellygreen</t>
  </si>
  <si>
    <t>Kellygreen her-0094</t>
  </si>
  <si>
    <t>herPaddyGreen</t>
  </si>
  <si>
    <t>PaddyGreen her-0095</t>
  </si>
  <si>
    <t>DarkGreen her-0096</t>
  </si>
  <si>
    <t>SeaGreen her-0097</t>
  </si>
  <si>
    <t>MediumTeal her-0103</t>
  </si>
  <si>
    <t>DarkTeal her-0104</t>
  </si>
  <si>
    <t>herDarkGrey</t>
  </si>
  <si>
    <t>DarkGrey her-0111</t>
  </si>
  <si>
    <t>AntiqueBrass her-0113</t>
  </si>
  <si>
    <t>MediumForestGreen her-0116</t>
  </si>
  <si>
    <t>TerraCotta her-0117</t>
  </si>
  <si>
    <t>herNavyBlue</t>
  </si>
  <si>
    <t>NavyBlue her-0120</t>
  </si>
  <si>
    <t>MediumBrown her-0121</t>
  </si>
  <si>
    <t>MediumGrey her-0122</t>
  </si>
  <si>
    <t>herLightAqua</t>
  </si>
  <si>
    <t>LightAqua her-0124</t>
  </si>
  <si>
    <t>herMediumAqua</t>
  </si>
  <si>
    <t>MediumAqua her-0125</t>
  </si>
  <si>
    <t>DarkRoyalBlue her-0127</t>
  </si>
  <si>
    <t>oldMahogony</t>
  </si>
  <si>
    <t>rgbLightSlateGrey</t>
  </si>
  <si>
    <t>rgbSlateGrey</t>
  </si>
  <si>
    <t>Slate Grey</t>
  </si>
  <si>
    <t>YellowGreen</t>
  </si>
  <si>
    <t>LightSlateGrey</t>
  </si>
  <si>
    <r>
      <t>rgbDark</t>
    </r>
    <r>
      <rPr>
        <b/>
        <sz val="10"/>
        <color rgb="FF8B0000"/>
        <rFont val="Calibri"/>
        <family val="2"/>
        <scheme val="minor"/>
      </rPr>
      <t>Gold</t>
    </r>
    <r>
      <rPr>
        <sz val="10"/>
        <color rgb="FF000000"/>
        <rFont val="Calibri"/>
        <family val="2"/>
        <scheme val="minor"/>
      </rPr>
      <t>enrod</t>
    </r>
  </si>
  <si>
    <r>
      <t>rgb</t>
    </r>
    <r>
      <rPr>
        <b/>
        <sz val="10"/>
        <color rgb="FF8B0000"/>
        <rFont val="Calibri"/>
        <family val="2"/>
        <scheme val="minor"/>
      </rPr>
      <t>Gold</t>
    </r>
  </si>
  <si>
    <r>
      <t>rgb</t>
    </r>
    <r>
      <rPr>
        <b/>
        <sz val="10"/>
        <color rgb="FF8B0000"/>
        <rFont val="Calibri"/>
        <family val="2"/>
        <scheme val="minor"/>
      </rPr>
      <t>Gold</t>
    </r>
    <r>
      <rPr>
        <sz val="10"/>
        <color rgb="FF000000"/>
        <rFont val="Calibri"/>
        <family val="2"/>
        <scheme val="minor"/>
      </rPr>
      <t>enrod</t>
    </r>
  </si>
  <si>
    <r>
      <t>rgbLight</t>
    </r>
    <r>
      <rPr>
        <b/>
        <sz val="10"/>
        <color rgb="FF8B0000"/>
        <rFont val="Calibri"/>
        <family val="2"/>
        <scheme val="minor"/>
      </rPr>
      <t>Gold</t>
    </r>
    <r>
      <rPr>
        <sz val="10"/>
        <color rgb="FF000000"/>
        <rFont val="Calibri"/>
        <family val="2"/>
        <scheme val="minor"/>
      </rPr>
      <t>enrodYellow</t>
    </r>
  </si>
  <si>
    <r>
      <t>herMedium</t>
    </r>
    <r>
      <rPr>
        <b/>
        <sz val="10"/>
        <color rgb="FF8B0000"/>
        <rFont val="Calibri"/>
        <family val="2"/>
        <scheme val="minor"/>
      </rPr>
      <t>Gold</t>
    </r>
  </si>
  <si>
    <r>
      <t>herDark</t>
    </r>
    <r>
      <rPr>
        <b/>
        <sz val="10"/>
        <color rgb="FF8B0000"/>
        <rFont val="Calibri"/>
        <family val="2"/>
        <scheme val="minor"/>
      </rPr>
      <t>Tan</t>
    </r>
  </si>
  <si>
    <r>
      <t>rgb</t>
    </r>
    <r>
      <rPr>
        <b/>
        <sz val="10"/>
        <color rgb="FF8B0000"/>
        <rFont val="Calibri"/>
        <family val="2"/>
        <scheme val="minor"/>
      </rPr>
      <t>Tan</t>
    </r>
  </si>
  <si>
    <r>
      <t>rgb</t>
    </r>
    <r>
      <rPr>
        <b/>
        <sz val="10"/>
        <color rgb="FF8B0000"/>
        <rFont val="Calibri"/>
        <family val="2"/>
        <scheme val="minor"/>
      </rPr>
      <t>Coral</t>
    </r>
  </si>
  <si>
    <r>
      <t>herDark</t>
    </r>
    <r>
      <rPr>
        <b/>
        <sz val="10"/>
        <color rgb="FF8B0000"/>
        <rFont val="Calibri"/>
        <family val="2"/>
        <scheme val="minor"/>
      </rPr>
      <t>Coral</t>
    </r>
  </si>
  <si>
    <r>
      <t>rgbLight</t>
    </r>
    <r>
      <rPr>
        <b/>
        <sz val="10"/>
        <color rgb="FF8B0000"/>
        <rFont val="Calibri"/>
        <family val="2"/>
        <scheme val="minor"/>
      </rPr>
      <t>Coral</t>
    </r>
  </si>
  <si>
    <r>
      <t>rgb</t>
    </r>
    <r>
      <rPr>
        <b/>
        <sz val="10"/>
        <color rgb="FF8B0000"/>
        <rFont val="Calibri"/>
        <family val="2"/>
        <scheme val="minor"/>
      </rPr>
      <t>Pale</t>
    </r>
    <r>
      <rPr>
        <sz val="10"/>
        <color rgb="FF000000"/>
        <rFont val="Calibri"/>
        <family val="2"/>
        <scheme val="minor"/>
      </rPr>
      <t>Goldenrod</t>
    </r>
  </si>
  <si>
    <r>
      <t>rgb</t>
    </r>
    <r>
      <rPr>
        <b/>
        <sz val="10"/>
        <color rgb="FF8B0000"/>
        <rFont val="Calibri"/>
        <family val="2"/>
        <scheme val="minor"/>
      </rPr>
      <t>Pale</t>
    </r>
    <r>
      <rPr>
        <sz val="10"/>
        <color rgb="FF000000"/>
        <rFont val="Calibri"/>
        <family val="2"/>
        <scheme val="minor"/>
      </rPr>
      <t>Green</t>
    </r>
  </si>
  <si>
    <r>
      <t>rgb</t>
    </r>
    <r>
      <rPr>
        <b/>
        <sz val="10"/>
        <color rgb="FF8B0000"/>
        <rFont val="Calibri"/>
        <family val="2"/>
        <scheme val="minor"/>
      </rPr>
      <t>Pale</t>
    </r>
    <r>
      <rPr>
        <sz val="10"/>
        <color rgb="FF000000"/>
        <rFont val="Calibri"/>
        <family val="2"/>
        <scheme val="minor"/>
      </rPr>
      <t>Turquoise</t>
    </r>
  </si>
  <si>
    <r>
      <t>rgb</t>
    </r>
    <r>
      <rPr>
        <b/>
        <sz val="10"/>
        <color rgb="FF8B0000"/>
        <rFont val="Calibri"/>
        <family val="2"/>
        <scheme val="minor"/>
      </rPr>
      <t>Pale</t>
    </r>
    <r>
      <rPr>
        <sz val="10"/>
        <color rgb="FF000000"/>
        <rFont val="Calibri"/>
        <family val="2"/>
        <scheme val="minor"/>
      </rPr>
      <t>VioletRed</t>
    </r>
  </si>
  <si>
    <r>
      <t>her</t>
    </r>
    <r>
      <rPr>
        <b/>
        <sz val="10"/>
        <color rgb="FF8B0000"/>
        <rFont val="Calibri"/>
        <family val="2"/>
        <scheme val="minor"/>
      </rPr>
      <t>Pale</t>
    </r>
    <r>
      <rPr>
        <sz val="10"/>
        <color rgb="FF000000"/>
        <rFont val="Calibri"/>
        <family val="2"/>
        <scheme val="minor"/>
      </rPr>
      <t>Gold</t>
    </r>
  </si>
  <si>
    <r>
      <t>her</t>
    </r>
    <r>
      <rPr>
        <b/>
        <sz val="10"/>
        <color rgb="FF8B0000"/>
        <rFont val="Calibri"/>
        <family val="2"/>
        <scheme val="minor"/>
      </rPr>
      <t>Pale</t>
    </r>
    <r>
      <rPr>
        <sz val="10"/>
        <color rgb="FF000000"/>
        <rFont val="Calibri"/>
        <family val="2"/>
        <scheme val="minor"/>
      </rPr>
      <t>Peach</t>
    </r>
  </si>
  <si>
    <r>
      <t>her</t>
    </r>
    <r>
      <rPr>
        <b/>
        <sz val="10"/>
        <color rgb="FF8B0000"/>
        <rFont val="Calibri"/>
        <family val="2"/>
        <scheme val="minor"/>
      </rPr>
      <t>Pale</t>
    </r>
    <r>
      <rPr>
        <sz val="10"/>
        <color rgb="FF000000"/>
        <rFont val="Calibri"/>
        <family val="2"/>
        <scheme val="minor"/>
      </rPr>
      <t>Pink</t>
    </r>
  </si>
  <si>
    <r>
      <t>her</t>
    </r>
    <r>
      <rPr>
        <b/>
        <sz val="10"/>
        <color rgb="FF8B0000"/>
        <rFont val="Calibri"/>
        <family val="2"/>
        <scheme val="minor"/>
      </rPr>
      <t>Pale</t>
    </r>
    <r>
      <rPr>
        <sz val="10"/>
        <color rgb="FF000000"/>
        <rFont val="Calibri"/>
        <family val="2"/>
        <scheme val="minor"/>
      </rPr>
      <t>Yellow</t>
    </r>
  </si>
  <si>
    <r>
      <t>herDark</t>
    </r>
    <r>
      <rPr>
        <b/>
        <sz val="10"/>
        <color rgb="FF8B0000"/>
        <rFont val="Calibri"/>
        <family val="2"/>
        <scheme val="minor"/>
      </rPr>
      <t>Rose</t>
    </r>
  </si>
  <si>
    <r>
      <t>herLight</t>
    </r>
    <r>
      <rPr>
        <b/>
        <sz val="10"/>
        <color rgb="FF8B0000"/>
        <rFont val="Calibri"/>
        <family val="2"/>
        <scheme val="minor"/>
      </rPr>
      <t>Rose</t>
    </r>
  </si>
  <si>
    <r>
      <t>rgbMisty</t>
    </r>
    <r>
      <rPr>
        <b/>
        <sz val="10"/>
        <color rgb="FF8B0000"/>
        <rFont val="Calibri"/>
        <family val="2"/>
        <scheme val="minor"/>
      </rPr>
      <t>Rose</t>
    </r>
  </si>
  <si>
    <r>
      <t>her</t>
    </r>
    <r>
      <rPr>
        <b/>
        <sz val="10"/>
        <color rgb="FF8B0000"/>
        <rFont val="Calibri"/>
        <family val="2"/>
        <scheme val="minor"/>
      </rPr>
      <t>Rose</t>
    </r>
  </si>
  <si>
    <r>
      <t>her</t>
    </r>
    <r>
      <rPr>
        <b/>
        <sz val="10"/>
        <color rgb="FF8B0000"/>
        <rFont val="Calibri"/>
        <family val="2"/>
        <scheme val="minor"/>
      </rPr>
      <t>Rose</t>
    </r>
    <r>
      <rPr>
        <sz val="10"/>
        <color rgb="FF000000"/>
        <rFont val="Calibri"/>
        <family val="2"/>
        <scheme val="minor"/>
      </rPr>
      <t>wood</t>
    </r>
  </si>
  <si>
    <r>
      <t>herDark</t>
    </r>
    <r>
      <rPr>
        <b/>
        <sz val="10"/>
        <color rgb="FF8B0000"/>
        <rFont val="Calibri"/>
        <family val="2"/>
        <scheme val="minor"/>
      </rPr>
      <t>Pink</t>
    </r>
  </si>
  <si>
    <r>
      <t>rgbDeep</t>
    </r>
    <r>
      <rPr>
        <b/>
        <sz val="10"/>
        <color rgb="FF8B0000"/>
        <rFont val="Calibri"/>
        <family val="2"/>
        <scheme val="minor"/>
      </rPr>
      <t>Pink</t>
    </r>
  </si>
  <si>
    <r>
      <t>rgbHot</t>
    </r>
    <r>
      <rPr>
        <b/>
        <sz val="10"/>
        <color rgb="FF8B0000"/>
        <rFont val="Calibri"/>
        <family val="2"/>
        <scheme val="minor"/>
      </rPr>
      <t>Pink</t>
    </r>
  </si>
  <si>
    <r>
      <t>rgbLight</t>
    </r>
    <r>
      <rPr>
        <b/>
        <sz val="10"/>
        <color rgb="FF8B0000"/>
        <rFont val="Calibri"/>
        <family val="2"/>
        <scheme val="minor"/>
      </rPr>
      <t>Pink</t>
    </r>
  </si>
  <si>
    <r>
      <t>rgb</t>
    </r>
    <r>
      <rPr>
        <b/>
        <sz val="10"/>
        <color rgb="FF8B0000"/>
        <rFont val="Calibri"/>
        <family val="2"/>
        <scheme val="minor"/>
      </rPr>
      <t>Pink</t>
    </r>
  </si>
  <si>
    <r>
      <t>her</t>
    </r>
    <r>
      <rPr>
        <b/>
        <sz val="10"/>
        <color rgb="FF8B0000"/>
        <rFont val="Calibri"/>
        <family val="2"/>
        <scheme val="minor"/>
      </rPr>
      <t>Pink</t>
    </r>
  </si>
  <si>
    <r>
      <t>herBright</t>
    </r>
    <r>
      <rPr>
        <b/>
        <sz val="10"/>
        <color rgb="FF8B0000"/>
        <rFont val="Calibri"/>
        <family val="2"/>
        <scheme val="minor"/>
      </rPr>
      <t>Red</t>
    </r>
  </si>
  <si>
    <r>
      <t>rgbDark</t>
    </r>
    <r>
      <rPr>
        <b/>
        <sz val="10"/>
        <color rgb="FF8B0000"/>
        <rFont val="Calibri"/>
        <family val="2"/>
        <scheme val="minor"/>
      </rPr>
      <t>Red</t>
    </r>
  </si>
  <si>
    <r>
      <t>herDark</t>
    </r>
    <r>
      <rPr>
        <b/>
        <sz val="10"/>
        <color rgb="FF8B0000"/>
        <rFont val="Calibri"/>
        <family val="2"/>
        <scheme val="minor"/>
      </rPr>
      <t>Red</t>
    </r>
  </si>
  <si>
    <r>
      <t>rgbIndian</t>
    </r>
    <r>
      <rPr>
        <b/>
        <sz val="10"/>
        <color rgb="FF8B0000"/>
        <rFont val="Calibri"/>
        <family val="2"/>
        <scheme val="minor"/>
      </rPr>
      <t>Red</t>
    </r>
  </si>
  <si>
    <r>
      <t>rgbMediumViolet</t>
    </r>
    <r>
      <rPr>
        <b/>
        <sz val="10"/>
        <color rgb="FF8B0000"/>
        <rFont val="Calibri"/>
        <family val="2"/>
        <scheme val="minor"/>
      </rPr>
      <t>Red</t>
    </r>
  </si>
  <si>
    <r>
      <t>rgbOrange</t>
    </r>
    <r>
      <rPr>
        <b/>
        <sz val="10"/>
        <color rgb="FF8B0000"/>
        <rFont val="Calibri"/>
        <family val="2"/>
        <scheme val="minor"/>
      </rPr>
      <t>Red</t>
    </r>
  </si>
  <si>
    <r>
      <t>rgb</t>
    </r>
    <r>
      <rPr>
        <b/>
        <sz val="10"/>
        <color rgb="FF8B0000"/>
        <rFont val="Calibri"/>
        <family val="2"/>
        <scheme val="minor"/>
      </rPr>
      <t>Red</t>
    </r>
  </si>
  <si>
    <r>
      <t>her</t>
    </r>
    <r>
      <rPr>
        <b/>
        <sz val="10"/>
        <color rgb="FF8B0000"/>
        <rFont val="Calibri"/>
        <family val="2"/>
        <scheme val="minor"/>
      </rPr>
      <t>Red</t>
    </r>
  </si>
  <si>
    <r>
      <t>rgb</t>
    </r>
    <r>
      <rPr>
        <b/>
        <sz val="10"/>
        <color rgb="FF8B0000"/>
        <rFont val="Calibri"/>
        <family val="2"/>
        <scheme val="minor"/>
      </rPr>
      <t>Bur</t>
    </r>
    <r>
      <rPr>
        <sz val="10"/>
        <color rgb="FF000000"/>
        <rFont val="Calibri"/>
        <family val="2"/>
        <scheme val="minor"/>
      </rPr>
      <t>lyWood</t>
    </r>
  </si>
  <si>
    <r>
      <t>her</t>
    </r>
    <r>
      <rPr>
        <b/>
        <sz val="10"/>
        <color rgb="FF8B0000"/>
        <rFont val="Calibri"/>
        <family val="2"/>
        <scheme val="minor"/>
      </rPr>
      <t>Bur</t>
    </r>
    <r>
      <rPr>
        <sz val="10"/>
        <color rgb="FF000000"/>
        <rFont val="Calibri"/>
        <family val="2"/>
        <scheme val="minor"/>
      </rPr>
      <t>ntOrange</t>
    </r>
  </si>
  <si>
    <r>
      <t>her</t>
    </r>
    <r>
      <rPr>
        <b/>
        <sz val="10"/>
        <color rgb="FF8B0000"/>
        <rFont val="Calibri"/>
        <family val="2"/>
        <scheme val="minor"/>
      </rPr>
      <t>Bur</t>
    </r>
    <r>
      <rPr>
        <b/>
        <sz val="10"/>
        <color rgb="FF000000"/>
        <rFont val="Calibri"/>
        <family val="2"/>
        <scheme val="minor"/>
      </rPr>
      <t>gundy</t>
    </r>
  </si>
  <si>
    <r>
      <t>rgbMedium</t>
    </r>
    <r>
      <rPr>
        <b/>
        <sz val="10"/>
        <color rgb="FF8B0000"/>
        <rFont val="Calibri"/>
        <family val="2"/>
        <scheme val="minor"/>
      </rPr>
      <t>Purp</t>
    </r>
    <r>
      <rPr>
        <sz val="10"/>
        <color rgb="FF000000"/>
        <rFont val="Calibri"/>
        <family val="2"/>
        <scheme val="minor"/>
      </rPr>
      <t>le</t>
    </r>
  </si>
  <si>
    <r>
      <t>rgb</t>
    </r>
    <r>
      <rPr>
        <b/>
        <sz val="10"/>
        <color rgb="FF8B0000"/>
        <rFont val="Calibri"/>
        <family val="2"/>
        <scheme val="minor"/>
      </rPr>
      <t>Purp</t>
    </r>
    <r>
      <rPr>
        <sz val="10"/>
        <color rgb="FF000000"/>
        <rFont val="Calibri"/>
        <family val="2"/>
        <scheme val="minor"/>
      </rPr>
      <t>le</t>
    </r>
  </si>
  <si>
    <r>
      <t>herDark</t>
    </r>
    <r>
      <rPr>
        <b/>
        <sz val="10"/>
        <color rgb="FF8B0000"/>
        <rFont val="Calibri"/>
        <family val="2"/>
        <scheme val="minor"/>
      </rPr>
      <t>Purp</t>
    </r>
    <r>
      <rPr>
        <b/>
        <sz val="10"/>
        <color rgb="FF000000"/>
        <rFont val="Calibri"/>
        <family val="2"/>
        <scheme val="minor"/>
      </rPr>
      <t>le</t>
    </r>
  </si>
  <si>
    <r>
      <t>rgbAlice</t>
    </r>
    <r>
      <rPr>
        <b/>
        <sz val="10"/>
        <color rgb="FF8B0000"/>
        <rFont val="Calibri"/>
        <family val="2"/>
        <scheme val="minor"/>
      </rPr>
      <t>Blue</t>
    </r>
  </si>
  <si>
    <r>
      <t>rgb</t>
    </r>
    <r>
      <rPr>
        <b/>
        <sz val="10"/>
        <color rgb="FF8B0000"/>
        <rFont val="Calibri"/>
        <family val="2"/>
        <scheme val="minor"/>
      </rPr>
      <t>Blue</t>
    </r>
  </si>
  <si>
    <r>
      <t>rgb</t>
    </r>
    <r>
      <rPr>
        <b/>
        <sz val="10"/>
        <color rgb="FF8B0000"/>
        <rFont val="Calibri"/>
        <family val="2"/>
        <scheme val="minor"/>
      </rPr>
      <t>Blue</t>
    </r>
    <r>
      <rPr>
        <sz val="10"/>
        <color rgb="FF000000"/>
        <rFont val="Calibri"/>
        <family val="2"/>
        <scheme val="minor"/>
      </rPr>
      <t>Violet</t>
    </r>
  </si>
  <si>
    <r>
      <t>rgbCadet</t>
    </r>
    <r>
      <rPr>
        <b/>
        <sz val="10"/>
        <color rgb="FF8B0000"/>
        <rFont val="Calibri"/>
        <family val="2"/>
        <scheme val="minor"/>
      </rPr>
      <t>Blue</t>
    </r>
  </si>
  <si>
    <r>
      <t>rgbDark</t>
    </r>
    <r>
      <rPr>
        <b/>
        <sz val="10"/>
        <color rgb="FF8B0000"/>
        <rFont val="Calibri"/>
        <family val="2"/>
        <scheme val="minor"/>
      </rPr>
      <t>Blue</t>
    </r>
  </si>
  <si>
    <r>
      <t>rgbDarkSlate</t>
    </r>
    <r>
      <rPr>
        <b/>
        <sz val="10"/>
        <color rgb="FF8B0000"/>
        <rFont val="Calibri"/>
        <family val="2"/>
        <scheme val="minor"/>
      </rPr>
      <t>Blue</t>
    </r>
  </si>
  <si>
    <r>
      <t>rgbDeepSky</t>
    </r>
    <r>
      <rPr>
        <b/>
        <sz val="10"/>
        <color rgb="FF8B0000"/>
        <rFont val="Calibri"/>
        <family val="2"/>
        <scheme val="minor"/>
      </rPr>
      <t>Blue</t>
    </r>
  </si>
  <si>
    <r>
      <t>rgbDodger</t>
    </r>
    <r>
      <rPr>
        <b/>
        <sz val="10"/>
        <color rgb="FF8B0000"/>
        <rFont val="Calibri"/>
        <family val="2"/>
        <scheme val="minor"/>
      </rPr>
      <t>Blue</t>
    </r>
  </si>
  <si>
    <r>
      <t>rgbLight</t>
    </r>
    <r>
      <rPr>
        <b/>
        <sz val="10"/>
        <color rgb="FF8B0000"/>
        <rFont val="Calibri"/>
        <family val="2"/>
        <scheme val="minor"/>
      </rPr>
      <t>Blue</t>
    </r>
  </si>
  <si>
    <r>
      <t>rgbLightSky</t>
    </r>
    <r>
      <rPr>
        <b/>
        <sz val="10"/>
        <color rgb="FF8B0000"/>
        <rFont val="Calibri"/>
        <family val="2"/>
        <scheme val="minor"/>
      </rPr>
      <t>Blue</t>
    </r>
  </si>
  <si>
    <r>
      <t>rgbLightSteel</t>
    </r>
    <r>
      <rPr>
        <b/>
        <sz val="10"/>
        <color rgb="FF8B0000"/>
        <rFont val="Calibri"/>
        <family val="2"/>
        <scheme val="minor"/>
      </rPr>
      <t>Blue</t>
    </r>
  </si>
  <si>
    <r>
      <t>herLight</t>
    </r>
    <r>
      <rPr>
        <b/>
        <sz val="10"/>
        <color rgb="FF8B0000"/>
        <rFont val="Calibri"/>
        <family val="2"/>
        <scheme val="minor"/>
      </rPr>
      <t>Blue</t>
    </r>
  </si>
  <si>
    <r>
      <t>rgbMedium</t>
    </r>
    <r>
      <rPr>
        <b/>
        <sz val="10"/>
        <color rgb="FF8B0000"/>
        <rFont val="Calibri"/>
        <family val="2"/>
        <scheme val="minor"/>
      </rPr>
      <t>Blue</t>
    </r>
  </si>
  <si>
    <r>
      <t>rgbMediumSlate</t>
    </r>
    <r>
      <rPr>
        <b/>
        <sz val="10"/>
        <color rgb="FF8B0000"/>
        <rFont val="Calibri"/>
        <family val="2"/>
        <scheme val="minor"/>
      </rPr>
      <t>Blue</t>
    </r>
  </si>
  <si>
    <r>
      <t>rgbMidnight</t>
    </r>
    <r>
      <rPr>
        <b/>
        <sz val="10"/>
        <color rgb="FF8B0000"/>
        <rFont val="Calibri"/>
        <family val="2"/>
        <scheme val="minor"/>
      </rPr>
      <t>Blue</t>
    </r>
  </si>
  <si>
    <r>
      <t>rgbNavy</t>
    </r>
    <r>
      <rPr>
        <b/>
        <sz val="10"/>
        <color rgb="FF8B0000"/>
        <rFont val="Calibri"/>
        <family val="2"/>
        <scheme val="minor"/>
      </rPr>
      <t>Blue</t>
    </r>
  </si>
  <si>
    <r>
      <t>herNavy</t>
    </r>
    <r>
      <rPr>
        <b/>
        <sz val="10"/>
        <color rgb="FF8B0000"/>
        <rFont val="Calibri"/>
        <family val="2"/>
        <scheme val="minor"/>
      </rPr>
      <t>Blue</t>
    </r>
  </si>
  <si>
    <r>
      <t>rgbPowder</t>
    </r>
    <r>
      <rPr>
        <b/>
        <sz val="10"/>
        <color rgb="FF8B0000"/>
        <rFont val="Calibri"/>
        <family val="2"/>
        <scheme val="minor"/>
      </rPr>
      <t>Blue</t>
    </r>
  </si>
  <si>
    <r>
      <t>rgbSky</t>
    </r>
    <r>
      <rPr>
        <b/>
        <sz val="10"/>
        <color rgb="FF8B0000"/>
        <rFont val="Calibri"/>
        <family val="2"/>
        <scheme val="minor"/>
      </rPr>
      <t>Blue</t>
    </r>
  </si>
  <si>
    <r>
      <t>rgbSlate</t>
    </r>
    <r>
      <rPr>
        <b/>
        <sz val="10"/>
        <color rgb="FF8B0000"/>
        <rFont val="Calibri"/>
        <family val="2"/>
        <scheme val="minor"/>
      </rPr>
      <t>Blue</t>
    </r>
  </si>
  <si>
    <r>
      <t>rgbSteel</t>
    </r>
    <r>
      <rPr>
        <b/>
        <sz val="10"/>
        <color rgb="FF8B0000"/>
        <rFont val="Calibri"/>
        <family val="2"/>
        <scheme val="minor"/>
      </rPr>
      <t>Blue</t>
    </r>
  </si>
  <si>
    <r>
      <t>herVeryLight</t>
    </r>
    <r>
      <rPr>
        <b/>
        <sz val="10"/>
        <color rgb="FF8B0000"/>
        <rFont val="Calibri"/>
        <family val="2"/>
        <scheme val="minor"/>
      </rPr>
      <t>Blue</t>
    </r>
  </si>
  <si>
    <r>
      <t>rgb</t>
    </r>
    <r>
      <rPr>
        <b/>
        <sz val="10"/>
        <color rgb="FF8B0000"/>
        <rFont val="Calibri"/>
        <family val="2"/>
        <scheme val="minor"/>
      </rPr>
      <t>Teal</t>
    </r>
  </si>
  <si>
    <r>
      <t>rgb</t>
    </r>
    <r>
      <rPr>
        <b/>
        <sz val="10"/>
        <color rgb="FF8B0000"/>
        <rFont val="Calibri"/>
        <family val="2"/>
        <scheme val="minor"/>
      </rPr>
      <t>Corn</t>
    </r>
    <r>
      <rPr>
        <sz val="10"/>
        <color rgb="FF000000"/>
        <rFont val="Calibri"/>
        <family val="2"/>
        <scheme val="minor"/>
      </rPr>
      <t>silk</t>
    </r>
  </si>
  <si>
    <r>
      <t>her</t>
    </r>
    <r>
      <rPr>
        <b/>
        <sz val="10"/>
        <color rgb="FF8B0000"/>
        <rFont val="Calibri"/>
        <family val="2"/>
        <scheme val="minor"/>
      </rPr>
      <t>Blue</t>
    </r>
    <r>
      <rPr>
        <b/>
        <sz val="10"/>
        <color rgb="FF000000"/>
        <rFont val="Calibri"/>
        <family val="2"/>
        <scheme val="minor"/>
      </rPr>
      <t>Violet</t>
    </r>
  </si>
  <si>
    <r>
      <t>herDark</t>
    </r>
    <r>
      <rPr>
        <b/>
        <sz val="10"/>
        <color rgb="FF8B0000"/>
        <rFont val="Calibri"/>
        <family val="2"/>
        <scheme val="minor"/>
      </rPr>
      <t>Royal</t>
    </r>
    <r>
      <rPr>
        <sz val="10"/>
        <color rgb="FF000000"/>
        <rFont val="Calibri"/>
        <family val="2"/>
        <scheme val="minor"/>
      </rPr>
      <t>Blue</t>
    </r>
  </si>
  <si>
    <r>
      <t>rgb</t>
    </r>
    <r>
      <rPr>
        <b/>
        <sz val="10"/>
        <color rgb="FF8B0000"/>
        <rFont val="Calibri"/>
        <family val="2"/>
        <scheme val="minor"/>
      </rPr>
      <t>Royal</t>
    </r>
    <r>
      <rPr>
        <b/>
        <sz val="10"/>
        <color rgb="FF000000"/>
        <rFont val="Calibri"/>
        <family val="2"/>
        <scheme val="minor"/>
      </rPr>
      <t>Blue</t>
    </r>
  </si>
  <si>
    <r>
      <t>rgbCorn</t>
    </r>
    <r>
      <rPr>
        <b/>
        <sz val="10"/>
        <color rgb="FF8B0000"/>
        <rFont val="Calibri"/>
        <family val="2"/>
        <scheme val="minor"/>
      </rPr>
      <t>flower</t>
    </r>
    <r>
      <rPr>
        <sz val="10"/>
        <color rgb="FF000000"/>
        <rFont val="Calibri"/>
        <family val="2"/>
        <scheme val="minor"/>
      </rPr>
      <t>Blue</t>
    </r>
  </si>
  <si>
    <r>
      <t>herCorn</t>
    </r>
    <r>
      <rPr>
        <b/>
        <sz val="10"/>
        <color rgb="FF8B0000"/>
        <rFont val="Calibri"/>
        <family val="2"/>
        <scheme val="minor"/>
      </rPr>
      <t>flower</t>
    </r>
  </si>
  <si>
    <r>
      <t>herDarkCorn</t>
    </r>
    <r>
      <rPr>
        <b/>
        <sz val="10"/>
        <color rgb="FF8B0000"/>
        <rFont val="Calibri"/>
        <family val="2"/>
        <scheme val="minor"/>
      </rPr>
      <t>flower</t>
    </r>
  </si>
  <si>
    <r>
      <t>rgbN</t>
    </r>
    <r>
      <rPr>
        <b/>
        <sz val="10"/>
        <color rgb="FF8B0000"/>
        <rFont val="Calibri"/>
        <family val="2"/>
        <scheme val="minor"/>
      </rPr>
      <t>ava</t>
    </r>
    <r>
      <rPr>
        <sz val="10"/>
        <color rgb="FF000000"/>
        <rFont val="Calibri"/>
        <family val="2"/>
        <scheme val="minor"/>
      </rPr>
      <t>joWhite</t>
    </r>
  </si>
  <si>
    <r>
      <t>her</t>
    </r>
    <r>
      <rPr>
        <b/>
        <sz val="10"/>
        <color rgb="FF8B0000"/>
        <rFont val="Calibri"/>
        <family val="2"/>
        <scheme val="minor"/>
      </rPr>
      <t>Pale</t>
    </r>
    <r>
      <rPr>
        <b/>
        <sz val="10"/>
        <color rgb="FF000000"/>
        <rFont val="Calibri"/>
        <family val="2"/>
        <scheme val="minor"/>
      </rPr>
      <t>Green</t>
    </r>
  </si>
  <si>
    <r>
      <t>her</t>
    </r>
    <r>
      <rPr>
        <b/>
        <sz val="10"/>
        <color rgb="FF8B0000"/>
        <rFont val="Calibri"/>
        <family val="2"/>
        <scheme val="minor"/>
      </rPr>
      <t>Pale</t>
    </r>
    <r>
      <rPr>
        <b/>
        <sz val="10"/>
        <color rgb="FF000000"/>
        <rFont val="Calibri"/>
        <family val="2"/>
        <scheme val="minor"/>
      </rPr>
      <t>Sage</t>
    </r>
  </si>
  <si>
    <r>
      <t>rgb</t>
    </r>
    <r>
      <rPr>
        <b/>
        <sz val="10"/>
        <color rgb="FF8B0000"/>
        <rFont val="Calibri"/>
        <family val="2"/>
        <scheme val="minor"/>
      </rPr>
      <t>Lime</t>
    </r>
  </si>
  <si>
    <r>
      <t>rgb</t>
    </r>
    <r>
      <rPr>
        <b/>
        <sz val="10"/>
        <color rgb="FF8B0000"/>
        <rFont val="Calibri"/>
        <family val="2"/>
        <scheme val="minor"/>
      </rPr>
      <t>Lime</t>
    </r>
    <r>
      <rPr>
        <sz val="10"/>
        <color rgb="FF000000"/>
        <rFont val="Calibri"/>
        <family val="2"/>
        <scheme val="minor"/>
      </rPr>
      <t>Green</t>
    </r>
  </si>
  <si>
    <r>
      <t>her</t>
    </r>
    <r>
      <rPr>
        <b/>
        <sz val="10"/>
        <color rgb="FF8B0000"/>
        <rFont val="Calibri"/>
        <family val="2"/>
        <scheme val="minor"/>
      </rPr>
      <t>Lime</t>
    </r>
  </si>
  <si>
    <r>
      <t>her</t>
    </r>
    <r>
      <rPr>
        <b/>
        <sz val="10"/>
        <color rgb="FF000000"/>
        <rFont val="Calibri"/>
        <family val="2"/>
        <scheme val="minor"/>
      </rPr>
      <t>Medium</t>
    </r>
    <r>
      <rPr>
        <b/>
        <sz val="10"/>
        <color rgb="FF8B0000"/>
        <rFont val="Calibri"/>
        <family val="2"/>
        <scheme val="minor"/>
      </rPr>
      <t>Teal</t>
    </r>
  </si>
  <si>
    <r>
      <t>her</t>
    </r>
    <r>
      <rPr>
        <b/>
        <sz val="10"/>
        <color rgb="FF000000"/>
        <rFont val="Calibri"/>
        <family val="2"/>
        <scheme val="minor"/>
      </rPr>
      <t>Light</t>
    </r>
    <r>
      <rPr>
        <b/>
        <sz val="10"/>
        <color rgb="FF8B0000"/>
        <rFont val="Calibri"/>
        <family val="2"/>
        <scheme val="minor"/>
      </rPr>
      <t>Teal</t>
    </r>
  </si>
  <si>
    <r>
      <t>her</t>
    </r>
    <r>
      <rPr>
        <b/>
        <sz val="10"/>
        <color rgb="FF000000"/>
        <rFont val="Calibri"/>
        <family val="2"/>
        <scheme val="minor"/>
      </rPr>
      <t>Dark</t>
    </r>
    <r>
      <rPr>
        <b/>
        <sz val="10"/>
        <color rgb="FF8B0000"/>
        <rFont val="Calibri"/>
        <family val="2"/>
        <scheme val="minor"/>
      </rPr>
      <t>Teal</t>
    </r>
  </si>
  <si>
    <r>
      <t>herAntique</t>
    </r>
    <r>
      <rPr>
        <b/>
        <sz val="10"/>
        <color rgb="FF8B0000"/>
        <rFont val="Calibri"/>
        <family val="2"/>
        <scheme val="minor"/>
      </rPr>
      <t>Brass</t>
    </r>
  </si>
  <si>
    <r>
      <t>her</t>
    </r>
    <r>
      <rPr>
        <b/>
        <sz val="10"/>
        <color rgb="FF8B0000"/>
        <rFont val="Calibri"/>
        <family val="2"/>
        <scheme val="minor"/>
      </rPr>
      <t>Brass</t>
    </r>
  </si>
  <si>
    <r>
      <t>rgb</t>
    </r>
    <r>
      <rPr>
        <b/>
        <sz val="10"/>
        <color rgb="FF8B0000"/>
        <rFont val="Calibri"/>
        <family val="2"/>
        <scheme val="minor"/>
      </rPr>
      <t>Fores</t>
    </r>
    <r>
      <rPr>
        <sz val="10"/>
        <color rgb="FF000000"/>
        <rFont val="Calibri"/>
        <family val="2"/>
        <scheme val="minor"/>
      </rPr>
      <t>tGreen</t>
    </r>
  </si>
  <si>
    <r>
      <t>herRain</t>
    </r>
    <r>
      <rPr>
        <b/>
        <sz val="10"/>
        <color rgb="FF8B0000"/>
        <rFont val="Calibri"/>
        <family val="2"/>
        <scheme val="minor"/>
      </rPr>
      <t>fores</t>
    </r>
    <r>
      <rPr>
        <sz val="10"/>
        <color rgb="FF000000"/>
        <rFont val="Calibri"/>
        <family val="2"/>
        <scheme val="minor"/>
      </rPr>
      <t>t</t>
    </r>
  </si>
  <si>
    <r>
      <t>herMedium</t>
    </r>
    <r>
      <rPr>
        <b/>
        <sz val="10"/>
        <color rgb="FF8B0000"/>
        <rFont val="Calibri"/>
        <family val="2"/>
        <scheme val="minor"/>
      </rPr>
      <t>Fores</t>
    </r>
    <r>
      <rPr>
        <b/>
        <sz val="10"/>
        <color rgb="FF000000"/>
        <rFont val="Calibri"/>
        <family val="2"/>
        <scheme val="minor"/>
      </rPr>
      <t>tGreen</t>
    </r>
  </si>
  <si>
    <r>
      <t>her</t>
    </r>
    <r>
      <rPr>
        <b/>
        <sz val="10"/>
        <color rgb="FF8B0000"/>
        <rFont val="Calibri"/>
        <family val="2"/>
        <scheme val="minor"/>
      </rPr>
      <t>Terr</t>
    </r>
    <r>
      <rPr>
        <b/>
        <sz val="10"/>
        <color rgb="FF000000"/>
        <rFont val="Calibri"/>
        <family val="2"/>
        <scheme val="minor"/>
      </rPr>
      <t>aCotta</t>
    </r>
  </si>
  <si>
    <r>
      <t>rgbDark</t>
    </r>
    <r>
      <rPr>
        <b/>
        <sz val="10"/>
        <color rgb="FF8B0000"/>
        <rFont val="Calibri"/>
        <family val="2"/>
        <scheme val="minor"/>
      </rPr>
      <t>Sal</t>
    </r>
    <r>
      <rPr>
        <sz val="10"/>
        <color rgb="FF000000"/>
        <rFont val="Calibri"/>
        <family val="2"/>
        <scheme val="minor"/>
      </rPr>
      <t>mon</t>
    </r>
  </si>
  <si>
    <r>
      <t>rgbLight</t>
    </r>
    <r>
      <rPr>
        <b/>
        <sz val="10"/>
        <color rgb="FF8B0000"/>
        <rFont val="Calibri"/>
        <family val="2"/>
        <scheme val="minor"/>
      </rPr>
      <t>Sal</t>
    </r>
    <r>
      <rPr>
        <sz val="10"/>
        <color rgb="FF000000"/>
        <rFont val="Calibri"/>
        <family val="2"/>
        <scheme val="minor"/>
      </rPr>
      <t>mon</t>
    </r>
  </si>
  <si>
    <r>
      <t>rgb</t>
    </r>
    <r>
      <rPr>
        <b/>
        <sz val="10"/>
        <color rgb="FF8B0000"/>
        <rFont val="Calibri"/>
        <family val="2"/>
        <scheme val="minor"/>
      </rPr>
      <t>Sal</t>
    </r>
    <r>
      <rPr>
        <sz val="10"/>
        <color rgb="FF000000"/>
        <rFont val="Calibri"/>
        <family val="2"/>
        <scheme val="minor"/>
      </rPr>
      <t>mon</t>
    </r>
  </si>
  <si>
    <r>
      <t>her</t>
    </r>
    <r>
      <rPr>
        <b/>
        <sz val="10"/>
        <color rgb="FF8B0000"/>
        <rFont val="Calibri"/>
        <family val="2"/>
        <scheme val="minor"/>
      </rPr>
      <t>Sal</t>
    </r>
    <r>
      <rPr>
        <b/>
        <sz val="10"/>
        <color rgb="FF000000"/>
        <rFont val="Calibri"/>
        <family val="2"/>
        <scheme val="minor"/>
      </rPr>
      <t>mon</t>
    </r>
  </si>
  <si>
    <r>
      <t>rgbDark</t>
    </r>
    <r>
      <rPr>
        <b/>
        <sz val="10"/>
        <color rgb="FF8B0000"/>
        <rFont val="Calibri"/>
        <family val="2"/>
        <scheme val="minor"/>
      </rPr>
      <t>Sea</t>
    </r>
    <r>
      <rPr>
        <sz val="10"/>
        <color rgb="FF000000"/>
        <rFont val="Calibri"/>
        <family val="2"/>
        <scheme val="minor"/>
      </rPr>
      <t>Green</t>
    </r>
  </si>
  <si>
    <r>
      <t>rgbLight</t>
    </r>
    <r>
      <rPr>
        <b/>
        <sz val="10"/>
        <color rgb="FF8B0000"/>
        <rFont val="Calibri"/>
        <family val="2"/>
        <scheme val="minor"/>
      </rPr>
      <t>Sea</t>
    </r>
    <r>
      <rPr>
        <sz val="10"/>
        <color rgb="FF000000"/>
        <rFont val="Calibri"/>
        <family val="2"/>
        <scheme val="minor"/>
      </rPr>
      <t>Green</t>
    </r>
  </si>
  <si>
    <r>
      <t>rgbMedium</t>
    </r>
    <r>
      <rPr>
        <b/>
        <sz val="10"/>
        <color rgb="FF8B0000"/>
        <rFont val="Calibri"/>
        <family val="2"/>
        <scheme val="minor"/>
      </rPr>
      <t>Sea</t>
    </r>
    <r>
      <rPr>
        <sz val="10"/>
        <color rgb="FF000000"/>
        <rFont val="Calibri"/>
        <family val="2"/>
        <scheme val="minor"/>
      </rPr>
      <t>Green</t>
    </r>
  </si>
  <si>
    <r>
      <t>rgb</t>
    </r>
    <r>
      <rPr>
        <b/>
        <sz val="10"/>
        <color rgb="FF8B0000"/>
        <rFont val="Calibri"/>
        <family val="2"/>
        <scheme val="minor"/>
      </rPr>
      <t>Sea</t>
    </r>
    <r>
      <rPr>
        <sz val="10"/>
        <color rgb="FF000000"/>
        <rFont val="Calibri"/>
        <family val="2"/>
        <scheme val="minor"/>
      </rPr>
      <t>Green</t>
    </r>
  </si>
  <si>
    <r>
      <t>her</t>
    </r>
    <r>
      <rPr>
        <b/>
        <sz val="10"/>
        <color rgb="FF8B0000"/>
        <rFont val="Calibri"/>
        <family val="2"/>
        <scheme val="minor"/>
      </rPr>
      <t>Sea</t>
    </r>
    <r>
      <rPr>
        <sz val="10"/>
        <color rgb="FF000000"/>
        <rFont val="Calibri"/>
        <family val="2"/>
        <scheme val="minor"/>
      </rPr>
      <t>Green</t>
    </r>
  </si>
  <si>
    <r>
      <t>rgb</t>
    </r>
    <r>
      <rPr>
        <b/>
        <sz val="10"/>
        <color rgb="FF8B0000"/>
        <rFont val="Calibri"/>
        <family val="2"/>
        <scheme val="minor"/>
      </rPr>
      <t>Sea</t>
    </r>
    <r>
      <rPr>
        <sz val="10"/>
        <color rgb="FF000000"/>
        <rFont val="Calibri"/>
        <family val="2"/>
        <scheme val="minor"/>
      </rPr>
      <t>shell</t>
    </r>
  </si>
  <si>
    <t>------------</t>
  </si>
  <si>
    <t>SYS_PARMS</t>
  </si>
  <si>
    <t>SP_AUTO_SELECT_COLOR</t>
  </si>
  <si>
    <t>SP_LIMIT_NAMES</t>
  </si>
  <si>
    <t>SP_PREFIX</t>
  </si>
  <si>
    <t>SP_DISABLE_CONFIRM_PROMPTS</t>
  </si>
  <si>
    <t>her</t>
  </si>
  <si>
    <t>SP_SHOW_COLORS</t>
  </si>
  <si>
    <t>SP_SHOW_LETTERS</t>
  </si>
  <si>
    <t>SP_SHOW_CELL_BORDERS</t>
  </si>
  <si>
    <t>SP_SHOW_10x10</t>
  </si>
  <si>
    <t>SP_UNDO_DEPTH</t>
  </si>
  <si>
    <t>Date</t>
  </si>
  <si>
    <t>Time</t>
  </si>
  <si>
    <t>Log data</t>
  </si>
  <si>
    <t>Delta time</t>
  </si>
  <si>
    <t>SP_CELL_SIZE</t>
  </si>
  <si>
    <t>SP_THREADS_PER_BAG</t>
  </si>
  <si>
    <t>SP_THREAD_WASTE_PERCENTAGE</t>
  </si>
  <si>
    <t>SP_MIN_LEFTOVER</t>
  </si>
  <si>
    <t>Count</t>
  </si>
  <si>
    <t>Sub and Functions</t>
  </si>
  <si>
    <t>Private/Public</t>
  </si>
  <si>
    <t>Parameters and Type</t>
  </si>
  <si>
    <t>Source File</t>
  </si>
  <si>
    <t>Calls</t>
  </si>
  <si>
    <t>Level</t>
  </si>
  <si>
    <t>Commentary</t>
  </si>
  <si>
    <t>SLOC</t>
  </si>
  <si>
    <t>Active Debug/Dump calls</t>
  </si>
  <si>
    <t>()</t>
  </si>
  <si>
    <t>clsDynamicOptionButton.cls</t>
  </si>
  <si>
    <t>&lt;no callers&gt;</t>
  </si>
  <si>
    <t>Private</t>
  </si>
  <si>
    <t>clsDynamicLabel.cls</t>
  </si>
  <si>
    <t>PopupSample</t>
  </si>
  <si>
    <t>CBS_UpdateMixer</t>
  </si>
  <si>
    <t>UpdateCB_Sample</t>
  </si>
  <si>
    <t>CBS_DisplayHeader</t>
  </si>
  <si>
    <t>CNC_OpenNewColorForm</t>
  </si>
  <si>
    <t>COLORBOX_NEW_1_3b.bas</t>
  </si>
  <si>
    <t>UniqueItemsInRange</t>
  </si>
  <si>
    <t>CNC_EnableButtons</t>
  </si>
  <si>
    <t>(rName As Range)</t>
  </si>
  <si>
    <t>(bUpdateClass As Boolean)</t>
  </si>
  <si>
    <t>RestoreFromFile</t>
  </si>
  <si>
    <t>GetRestoreFilename</t>
  </si>
  <si>
    <t>NewestBackupNumber</t>
  </si>
  <si>
    <t>() As Integer</t>
  </si>
  <si>
    <t>RemoveFileExtension</t>
  </si>
  <si>
    <t>InitializeBackup</t>
  </si>
  <si>
    <t>SaveBackupIfTime</t>
  </si>
  <si>
    <t>DoBackup</t>
  </si>
  <si>
    <t>CB_FindUsage</t>
  </si>
  <si>
    <t>CB_FindNext</t>
  </si>
  <si>
    <t>FindNextError</t>
  </si>
  <si>
    <t>NextCellsInRange</t>
  </si>
  <si>
    <t>(iRow As Integer, iCol As Integer, iMaxRows As Integer, iMaxCols As Integer, iNewRow As Integer, iNewCol As Integer)</t>
  </si>
  <si>
    <t>ReassignArea</t>
  </si>
  <si>
    <t>ReturnLineRangeUnion</t>
  </si>
  <si>
    <t>(rCell1 As Range, rCell2 As Range) As Range</t>
  </si>
  <si>
    <t>DistanceFromPointToLineSegment</t>
  </si>
  <si>
    <t>(rLinePtA As Range, rLinePtB As Range, rPointE As Range) As Single</t>
  </si>
  <si>
    <t>ReportAlphaBetUsage</t>
  </si>
  <si>
    <t>(iCount As Integer, iThreadsPerBag As Integer, sngThreadWastePercentage, iMinLeftover As Integer) As Single</t>
  </si>
  <si>
    <t>InitializeThreadPercentageWasteList</t>
  </si>
  <si>
    <t>HaveValidPolygon</t>
  </si>
  <si>
    <t>() As Boolean</t>
  </si>
  <si>
    <t>SizeOfPointList</t>
  </si>
  <si>
    <t>CBLP_ColorRangeCore</t>
  </si>
  <si>
    <t>DetermineFillArea</t>
  </si>
  <si>
    <t>() As Range</t>
  </si>
  <si>
    <t>CBLP_EnableButtons</t>
  </si>
  <si>
    <t>ClearArrows</t>
  </si>
  <si>
    <t>ClearPolygonCorners</t>
  </si>
  <si>
    <t>NudgePoint</t>
  </si>
  <si>
    <t>(iRowDelta As Integer, iColDelta As Integer)</t>
  </si>
  <si>
    <t>SizeOfRangeArray</t>
  </si>
  <si>
    <t>(aRange() As Range) As Integer</t>
  </si>
  <si>
    <t>ArePointsDefined</t>
  </si>
  <si>
    <t>RandomDriver</t>
  </si>
  <si>
    <t>SetUpRandomPanel</t>
  </si>
  <si>
    <t>HaveRandomMatrix</t>
  </si>
  <si>
    <t>HandleDynamicTextboxUpdate</t>
  </si>
  <si>
    <t>(msTB As MSForms.TextBox)</t>
  </si>
  <si>
    <t>ReturnRandomColorLetter</t>
  </si>
  <si>
    <t>DriveIntersect</t>
  </si>
  <si>
    <t>IsPointInsidePolygon</t>
  </si>
  <si>
    <t>(aPolygonPts() As Range, rPoint As Range, iNumberOfPoints As Integer) As Boolean</t>
  </si>
  <si>
    <t>DumpLine</t>
  </si>
  <si>
    <t>NextPoint</t>
  </si>
  <si>
    <t>(aPointArray() As Range, iIndex As Integer, iArraySize As Integer) As Range</t>
  </si>
  <si>
    <t>NextIndex</t>
  </si>
  <si>
    <t>(iIndex As Integer, iArraySize As Integer) As Integer</t>
  </si>
  <si>
    <t>PrevPoint</t>
  </si>
  <si>
    <t>PrevIndex</t>
  </si>
  <si>
    <t>LinesIntersect</t>
  </si>
  <si>
    <t>(aLine1() As Range, aLine2() As Range) As Boolean</t>
  </si>
  <si>
    <t>dumpDIR</t>
  </si>
  <si>
    <t>FormatDIR</t>
  </si>
  <si>
    <t>ONLINE</t>
  </si>
  <si>
    <t>(aLine() As Range, rPoint As Range) As Boolean</t>
  </si>
  <si>
    <t>MIN</t>
  </si>
  <si>
    <t>(i1 As Integer, i2 As Integer) As Integer</t>
  </si>
  <si>
    <t>MAX</t>
  </si>
  <si>
    <t>GetDirection</t>
  </si>
  <si>
    <t>(rA As Range, rB As Range, rC As Range) As EDIRECTION</t>
  </si>
  <si>
    <t>XforPt</t>
  </si>
  <si>
    <t>(rPoint As Range) As Integer</t>
  </si>
  <si>
    <t>YforPt</t>
  </si>
  <si>
    <t>DrawArrows</t>
  </si>
  <si>
    <t>drivecd</t>
  </si>
  <si>
    <t>TESTDrawCircle</t>
  </si>
  <si>
    <t>CBDC_FlashCircleAction</t>
  </si>
  <si>
    <t>CreateCircleUnion</t>
  </si>
  <si>
    <t>AddToUnion</t>
  </si>
  <si>
    <t>(rCell As Range, rUnion As Range) As Range</t>
  </si>
  <si>
    <t>SetCBDC_ColALpha</t>
  </si>
  <si>
    <t>CreateCenterPointUnion</t>
  </si>
  <si>
    <t>CBDC_EnableButtons</t>
  </si>
  <si>
    <t>IsAlpha</t>
  </si>
  <si>
    <t>AssignRangeUnion</t>
  </si>
  <si>
    <t>SetCenterPointToSelectedCell</t>
  </si>
  <si>
    <t>clsMyTextBox.cls</t>
  </si>
  <si>
    <t>(lNewColor As Long)</t>
  </si>
  <si>
    <t>ColorBoxMainDriver</t>
  </si>
  <si>
    <t>Public</t>
  </si>
  <si>
    <t>SetupConstants</t>
  </si>
  <si>
    <t>Set_EMENU_MODE_NORMAL</t>
  </si>
  <si>
    <t>Set_EMENU_MODE_POLYGON</t>
  </si>
  <si>
    <t>PopulateColorList</t>
  </si>
  <si>
    <t>() As Long</t>
  </si>
  <si>
    <t>SheetSwatchCharacterIndex</t>
  </si>
  <si>
    <t>SheetSwatchOffsetForLetter</t>
  </si>
  <si>
    <t>FirstSheetSwatchCharacter</t>
  </si>
  <si>
    <t>GetSelectedListEntryInventoryLocation</t>
  </si>
  <si>
    <t>InventoryDescriptionIndexRange</t>
  </si>
  <si>
    <t>InventoryRGBNameIndexRange</t>
  </si>
  <si>
    <t>Inventory_First_RGBName_Cell</t>
  </si>
  <si>
    <t>FlipIt</t>
  </si>
  <si>
    <t>CreateNewPattern</t>
  </si>
  <si>
    <t>MirrorSelectionRight</t>
  </si>
  <si>
    <t>MirrorSelectionDown</t>
  </si>
  <si>
    <t>ProvideAddInStatus</t>
  </si>
  <si>
    <t>(bPresent As Boolean, bActive As Boolean)</t>
  </si>
  <si>
    <t>SetupPatternCode</t>
  </si>
  <si>
    <t>(ws As Worksheet)</t>
  </si>
  <si>
    <t>SelectedSwatchLetter</t>
  </si>
  <si>
    <t>PopulateSwatches</t>
  </si>
  <si>
    <t>CB_MoveSwatch</t>
  </si>
  <si>
    <t>(iDirection As Integer)</t>
  </si>
  <si>
    <t>(cLabel As MSForms.Label, rCell As Range, Optional vTag As Variant)</t>
  </si>
  <si>
    <t>SetupMixerArray</t>
  </si>
  <si>
    <t>PopulateMixerArray</t>
  </si>
  <si>
    <t>(iRed As Integer, iGreen As Integer, iBlue As Integer) As Long</t>
  </si>
  <si>
    <t>HandleColorLabelSelection</t>
  </si>
  <si>
    <t>CB_UpdateLegendSheet</t>
  </si>
  <si>
    <t>CB_ValidatePrefix</t>
  </si>
  <si>
    <t>FaderTest</t>
  </si>
  <si>
    <t>MakeTestStrip</t>
  </si>
  <si>
    <t>BrighterTest</t>
  </si>
  <si>
    <t>CB_InitializeFaderLevel</t>
  </si>
  <si>
    <t>FadeUnder</t>
  </si>
  <si>
    <t>Brite2Under</t>
  </si>
  <si>
    <t>DarkUnder</t>
  </si>
  <si>
    <t>CB_FadeAll</t>
  </si>
  <si>
    <t>CB_FadeSelected</t>
  </si>
  <si>
    <t>Fade</t>
  </si>
  <si>
    <t>(rCell As Range)</t>
  </si>
  <si>
    <t>Saturation</t>
  </si>
  <si>
    <t>(rHexColor As Range) As Single</t>
  </si>
  <si>
    <t>Luminosity</t>
  </si>
  <si>
    <t>nMinOf</t>
  </si>
  <si>
    <t>(nOne As Single, nTwo As Single) As Single</t>
  </si>
  <si>
    <t>(iOne As Integer, iTwo As Integer) As Integer</t>
  </si>
  <si>
    <t>nMaxOf</t>
  </si>
  <si>
    <t>iMaxOf</t>
  </si>
  <si>
    <t>PopulateZoomLevels</t>
  </si>
  <si>
    <t>CB_ZOOM</t>
  </si>
  <si>
    <t>CB_ZOOM_ON_SELECTED</t>
  </si>
  <si>
    <t>UpdateDisplayedZoom</t>
  </si>
  <si>
    <t>StringTimeToMillisecond</t>
  </si>
  <si>
    <t>EpochTimeInSeconds</t>
  </si>
  <si>
    <t>() As Double</t>
  </si>
  <si>
    <t>clsCellState.cls</t>
  </si>
  <si>
    <t>clsStack.cls</t>
  </si>
  <si>
    <t>(ByRef varText As Variant)</t>
  </si>
  <si>
    <t>() As Variant</t>
  </si>
  <si>
    <t>ColumnLetterToNumber</t>
  </si>
  <si>
    <t>ColumnNumberToLetter</t>
  </si>
  <si>
    <t>CB_UsedRange</t>
  </si>
  <si>
    <t>LastUsedCellInColumn</t>
  </si>
  <si>
    <t>(rCellInColumn As Range) As Range</t>
  </si>
  <si>
    <t>LastUsedCellInRow</t>
  </si>
  <si>
    <t>(rCellInRow As Range) As Range</t>
  </si>
  <si>
    <t>ForceConfirm</t>
  </si>
  <si>
    <t>Confirm</t>
  </si>
  <si>
    <t>Apply10x10Border</t>
  </si>
  <si>
    <t>(rCell As Range, lBorderColor As Long)</t>
  </si>
  <si>
    <t>CB_GotoNextWindow</t>
  </si>
  <si>
    <t>DisplayedCells</t>
  </si>
  <si>
    <t>CenterSelectedCell</t>
  </si>
  <si>
    <t>IsValidSymbol</t>
  </si>
  <si>
    <t>CB_Initialize_Undo</t>
  </si>
  <si>
    <t>CB_Update_Undo_Depth</t>
  </si>
  <si>
    <t>RecordRangeState</t>
  </si>
  <si>
    <t>FindCellState</t>
  </si>
  <si>
    <t>CellStateSize</t>
  </si>
  <si>
    <t>DumpCellState</t>
  </si>
  <si>
    <t>LogChange</t>
  </si>
  <si>
    <t>NeedNewStackEntry</t>
  </si>
  <si>
    <t>(rCell As Range, ndEpochTime As Double) As Boolean</t>
  </si>
  <si>
    <t>DumpUndoQueue</t>
  </si>
  <si>
    <t>CB_UNDOIT</t>
  </si>
  <si>
    <t>SheetFromSheetAddr</t>
  </si>
  <si>
    <t>RangeFromSheetAddr</t>
  </si>
  <si>
    <t>CB_LOG</t>
  </si>
  <si>
    <t>ClearLog</t>
  </si>
  <si>
    <t>StartLog</t>
  </si>
  <si>
    <t>CB_AutoSelect</t>
  </si>
  <si>
    <t>CB_HandleCellUpdate</t>
  </si>
  <si>
    <t>(rTarget As Range)</t>
  </si>
  <si>
    <t>CB_ColorCell</t>
  </si>
  <si>
    <t>(rArea As Range)</t>
  </si>
  <si>
    <t>CB_ShowCellValue</t>
  </si>
  <si>
    <t>HandleOptionSelection</t>
  </si>
  <si>
    <t>CBSC_EnableButtons</t>
  </si>
  <si>
    <t>CB_FIND_EnableButtons</t>
  </si>
  <si>
    <t>CB_10x10_EnableButtons</t>
  </si>
  <si>
    <t>CB_CELL_SIZE_EnableButtons</t>
  </si>
  <si>
    <t>CB_InitializeGridSize</t>
  </si>
  <si>
    <t>CB_UpdateGridSize</t>
  </si>
  <si>
    <t>CB_Draw10x10</t>
  </si>
  <si>
    <t>CB_ReportCellSize</t>
  </si>
  <si>
    <t>CB_ApplyCellSize</t>
  </si>
  <si>
    <t>SetDefaultCellSize</t>
  </si>
  <si>
    <t>CB_SCROLL</t>
  </si>
  <si>
    <t>CB_ClearSelection</t>
  </si>
  <si>
    <t>(iOldValue As Integer, iStep As Integer) As Integer</t>
  </si>
  <si>
    <t>CB_AdjustSpinner</t>
  </si>
  <si>
    <t>(iOldValue As Integer, EDIRECTION As DIRECTIONS) As Integer</t>
  </si>
  <si>
    <t>SETUP_SCROLL_BUTTONS</t>
  </si>
  <si>
    <t>CB_VALIDATE_HELPPATH</t>
  </si>
  <si>
    <t>InitializeHelpPath</t>
  </si>
  <si>
    <t>OpenHelp</t>
  </si>
  <si>
    <t>ExtractDirectory</t>
  </si>
  <si>
    <t>(iColor As Integer) '</t>
  </si>
  <si>
    <t>(lColorNumber As Long) As Long</t>
  </si>
  <si>
    <t>(nR1 As Integer, nG1 As Integer, nB1 As Integer, nR2 As Integer, nG2 As Integer, nB2 As Integer) As Single</t>
  </si>
  <si>
    <t>DistanceFromColorBlack</t>
  </si>
  <si>
    <t>(lRGB As Long) As Single</t>
  </si>
  <si>
    <t>ExtractRGBValuesFromColor</t>
  </si>
  <si>
    <t>GetSysParmRange</t>
  </si>
  <si>
    <t>SetSysParmValue</t>
  </si>
  <si>
    <t>ReadSysParms</t>
  </si>
  <si>
    <t>(iR1 As Integer, iG1 As Integer, iB1 As Integer, iR2 As Integer, iG2 As Integer, iB2 As Integer) As Single</t>
  </si>
  <si>
    <t>Angle3d</t>
  </si>
  <si>
    <t>(rFirstTriple As Range, rSecondTriple As Range) As Double</t>
  </si>
  <si>
    <t>Magnitude</t>
  </si>
  <si>
    <t>(aVector() As Double)</t>
  </si>
  <si>
    <t xml:space="preserve"> triggered when the user clicks on an option button. Calls colorbox processing
MsgBox "click" &amp; butEvents.Caption
Stop</t>
  </si>
  <si>
    <t xml:space="preserve"> populates and shows color sample pop up</t>
  </si>
  <si>
    <t>updates the color box mixer RGB values with the Sample popup RGB values then recalculates mixer display</t>
  </si>
  <si>
    <t xml:space="preserve"> reads the colorbox sample data and updates the background data to the new color.
 updates the color history  with the old color</t>
  </si>
  <si>
    <t xml:space="preserve"> updates the sample form caption with the RGB values when the panel was opened.</t>
  </si>
  <si>
    <t>&lt;no calls&gt;</t>
  </si>
  <si>
    <t xml:space="preserve"> populates and loads the Add/Mod/Delete Color Names form</t>
  </si>
  <si>
    <t xml:space="preserve"> given an input range of presumed strings, it returns a Collection of the unique cell contents</t>
  </si>
  <si>
    <t xml:space="preserve"> A/M/D panel code to enable/disable command buttons
 determine if the
   Create New Name           (if the name is at least 6 characters long, does not end with a digit, is not already in the inventory and a class is selected)
   Update Exiting Color        (if the name is in the inventory
   Delete Existing Color       (if the name is in the inventory but NOT referenced by a letter)
 buttons should be enabled or disabled
 also indicates of the color class still needs to be entered buy red-lining the input box if it is needed
Dim sUserName As String</t>
  </si>
  <si>
    <t xml:space="preserve"> looks to see if an input color name is in the RGB Index.</t>
  </si>
  <si>
    <t xml:space="preserve"> if the pointer to the color name has an associated color class set, select that class in the class combo box</t>
  </si>
  <si>
    <t xml:space="preserve"> called if the New color class list widget is changed or the new name is changed.
 looks to see if the name entered matches an existing name exactly, and if it is a partial name for one or more existing names.
  builds a list of names matched (whole or partial)
 sets up program response to change of class or color name in new color panel</t>
  </si>
  <si>
    <t xml:space="preserve"> called by Create New Name (color)
 puts the new color into the color inventory and fills in the rgbname columns
 updates the rgbname sheet to maintain consistency</t>
  </si>
  <si>
    <t xml:space="preserve"> called from GUI, removes an inventory name after a confirmation</t>
  </si>
  <si>
    <t xml:space="preserve"> called from command button, replaces the name of an existing color with a new one.</t>
  </si>
  <si>
    <t xml:space="preserve"> given a oldName and a NewName for a color, makes sure that any color swatch that references that name gets the rename applied.</t>
  </si>
  <si>
    <t xml:space="preserve"> applies new RGB values into the inventory for a specified color name.</t>
  </si>
  <si>
    <t xml:space="preserve"> removes the presumed 4 character prefix from the internal name for a color (RGB_Blue to Blue)</t>
  </si>
  <si>
    <t xml:space="preserve"> called by user to copy the currentwork sheet back from a user selected backup file</t>
  </si>
  <si>
    <t xml:space="preserve"> prompts the user for the restore file name to be used. Returns full path/filename or null</t>
  </si>
  <si>
    <t xml:space="preserve"> counts how many times CHAR is seen in STRING</t>
  </si>
  <si>
    <t xml:space="preserve"> searches the file system for the oldest backup file and returns its number</t>
  </si>
  <si>
    <t xml:space="preserve"> utility - removes anything after the first dot in the file name</t>
  </si>
  <si>
    <t xml:space="preserve"> if sufficient time has passed since the last backup, call for a backup to be taken</t>
  </si>
  <si>
    <t xml:space="preserve"> creates a backup, running thru file names ending with 1 to 9
 resets time of last backup</t>
  </si>
  <si>
    <t xml:space="preserve"> supports the temporary display of  all instances of the Selected Color (Letter) in the currently selected-in-the list color
  parameter used to either show the test color or to return color cells to the letter determined color.</t>
  </si>
  <si>
    <t xml:space="preserve"> counts the number of times the FIND target is present in the Used Range
 updates GUI with results</t>
  </si>
  <si>
    <t xml:space="preserve"> returns the number of times the input string is seen as a value in the input range</t>
  </si>
  <si>
    <t xml:space="preserve"> if the selected cell matches the Find Target, it looks for the next instance of the target value after the selected location
 if the selected cell does not match the find target, it looks starting at cell(1,1)</t>
  </si>
  <si>
    <t xml:space="preserve"> starting at the currently selected cell, looks for a cell that does not have a single A-Z or a-z in it.</t>
  </si>
  <si>
    <t xml:space="preserve"> given an cell of interest (row/col) and boundaries (max row/col), grabs the next cell</t>
  </si>
  <si>
    <t xml:space="preserve"> called when either the To or From Colors are changed by the user
 makes sure that the To and From letters actually have defined color values (have swatches)
 enables/disables the reassign selection/all command buttons</t>
  </si>
  <si>
    <t xml:space="preserve"> implements the re-assignment processing, changing instances of the From letter to the To letter in the
 scope (all or selected area)
 updates color counts when done</t>
  </si>
  <si>
    <t xml:space="preserve"> returns the set of cells that intersect the line between two cells, using a distance from line filter</t>
  </si>
  <si>
    <t xml:space="preserve"> calculates the distance from a point (E) from a line defined by two points (A and B)</t>
  </si>
  <si>
    <t xml:space="preserve"> determines the width of the Colorbox GUI to be shown, based on the select multipage tab</t>
  </si>
  <si>
    <t xml:space="preserve"> sModes - "all" or "area"
 generates a report of all used letters (upper and lower case)
 report is placed into report area in GUI</t>
  </si>
  <si>
    <t xml:space="preserve"> implements bag count formula (common code)</t>
  </si>
  <si>
    <t>initializes thread percentage list box</t>
  </si>
  <si>
    <t xml:space="preserve"> provides the number of points defined in the point list</t>
  </si>
  <si>
    <t xml:space="preserve"> line polygon panel enable buttons logic
  Assign, flash and color command logic</t>
  </si>
  <si>
    <t xml:space="preserve"> marks a selected cell by putting a black/white checker point pattern in the cell.</t>
  </si>
  <si>
    <t xml:space="preserve"> removes the black/white checker board marking, requests that the cell be recolored per its lettering</t>
  </si>
  <si>
    <t xml:space="preserve"> remove a user selected point from a list</t>
  </si>
  <si>
    <t xml:space="preserve"> removes polygon/line lines (created as arrows)</t>
  </si>
  <si>
    <t xml:space="preserve"> removes the polygon corner marking from a pattern</t>
  </si>
  <si>
    <t xml:space="preserve"> moves a user polygon point in the user selected direction</t>
  </si>
  <si>
    <t xml:space="preserve"> inserts a new polygon point into a polygon point list
 the location of the new point is determined as the halfway point between the existing points.</t>
  </si>
  <si>
    <t xml:space="preserve"> utility - returns the size of an array</t>
  </si>
  <si>
    <t xml:space="preserve"> returns true of there are at least 2 points defined in the point list</t>
  </si>
  <si>
    <t xml:space="preserve"> test code</t>
  </si>
  <si>
    <t xml:space="preserve"> creates data structure and GUI elements for the input of the Random letters and frequencies
 creates text box classes to TB_Events, which triggers callbacks when a Random letter/frequency is updated</t>
  </si>
  <si>
    <t xml:space="preserve"> set up routine for random processing. Sets up random color dictionary and returns TRUE if there are at least 2 items in it.
  i.e. It can be used</t>
  </si>
  <si>
    <t xml:space="preserve"> test code for debugging intersection logic</t>
  </si>
  <si>
    <t xml:space="preserve"> given a set of polygon points and another point, determines if that point should be considered as in the polygon</t>
  </si>
  <si>
    <t xml:space="preserve"> debug tool, prints the cells addresses of a point defined by two cells. Prints reference text with the points</t>
  </si>
  <si>
    <t xml:space="preserve"> given a list of points, and an index into the list, returns the next point in the list</t>
  </si>
  <si>
    <t xml:space="preserve"> given an index and an array size, either returns the next number or resets the number to 1 if the end of the array is reached.</t>
  </si>
  <si>
    <t xml:space="preserve"> given a list of points, and an index into the list, returns the previous point in the list</t>
  </si>
  <si>
    <t xml:space="preserve"> given an index and an array size, either returns the previous  number or resets the number to size of the array  if the start of the array is reached.</t>
  </si>
  <si>
    <t xml:space="preserve"> given two lines, returns true if they intersect</t>
  </si>
  <si>
    <t xml:space="preserve"> debug tool, prints readable E Direction enumerated type values, prints comment tag with the direction</t>
  </si>
  <si>
    <t xml:space="preserve"> returns the formatted E Direction enumerated type. Used for debug</t>
  </si>
  <si>
    <t xml:space="preserve"> returns true if the point is on the line mathematically (no error tolerance)</t>
  </si>
  <si>
    <t xml:space="preserve"> returns the mimumum of two integers</t>
  </si>
  <si>
    <t xml:space="preserve"> returns the max of two integers</t>
  </si>
  <si>
    <t xml:space="preserve"> given three sequential points  determines if the resulting shape curves clockwise, counter clockwise or a straight line</t>
  </si>
  <si>
    <t xml:space="preserve"> extracts a cell's column from a point structure</t>
  </si>
  <si>
    <t xml:space="preserve"> extracts a cell's row from a piint structure</t>
  </si>
  <si>
    <t>---------------------------------------------------------------------------------------------------
---Script: DrawArrows------------------------------------------------------------------------------
---Created by: Ryan Wells -------------------------------------------------------------------------
---Date: 10/2015-----------------------------------------------------------------------------------
---Description: This macro draws arrows or lines from the middle of one cell to the middle --------
----------------of another. Custom endpoints and shape colors are suppported ----------------------
---------------------------------------------------------------------------------------------------</t>
  </si>
  <si>
    <t xml:space="preserve"> flashes the cells that meet the circle parameters</t>
  </si>
  <si>
    <t xml:space="preserve"> processes user request to assign letters (color) to the region defined by the draw circle panel</t>
  </si>
  <si>
    <t xml:space="preserve"> reads the draw circle panel and builds the corresponding set of cells (a union) that comprises that circle</t>
  </si>
  <si>
    <t xml:space="preserve"> adds a new cell to an existing range union.</t>
  </si>
  <si>
    <t xml:space="preserve"> processes updated draw circle column value update.</t>
  </si>
  <si>
    <t xml:space="preserve"> creates the center point union and flashes it, area is returned to letter associated color when done</t>
  </si>
  <si>
    <t xml:space="preserve"> creates a range union consisting of the defined center point and the cells directly to the left or directly above the center point</t>
  </si>
  <si>
    <t xml:space="preserve"> enable buttons logic for draw circle panel</t>
  </si>
  <si>
    <t xml:space="preserve"> returns true if input ia A-Z or a-z, else otherwise</t>
  </si>
  <si>
    <t xml:space="preserve"> reads the current selected area, and if it is one cell, it sets the Draw circle center point data to that point</t>
  </si>
  <si>
    <t xml:space="preserve"> triggered when a text box is changed. calls colorbox processing</t>
  </si>
  <si>
    <t xml:space="preserve"> creates data structure of labels for Color box history</t>
  </si>
  <si>
    <t xml:space="preserve"> populates the colorbox history labels from the history array</t>
  </si>
  <si>
    <t xml:space="preserve"> adds a new entry to the color box history if it is not already in there
 steps old entries down in history until they fall out.</t>
  </si>
  <si>
    <t xml:space="preserve"> prepares and loads the Colorbox GUI.
 sets up data structures needed
 ends with colorbox GUI loaded and ready for input</t>
  </si>
  <si>
    <t xml:space="preserve"> indicates that the colorbox tool has already been loaded if the software has already looked for the grid size.</t>
  </si>
  <si>
    <t xml:space="preserve"> called by main driver and cell update, sets up all of the constants that the software expects to exist,
 includes table columns and offsets, default colors
 also calls other initialize routines to set up the normal operating environment.</t>
  </si>
  <si>
    <t>EMENU indicates if the software is in a special state where clicks on the pattern are to be interpreted as line/polygon corners or not.
 routine sets mode to normal.</t>
  </si>
  <si>
    <t>EMENU indicates if the software is in a special state where clicks on the pattern are to be interpreted as line/polygon corners or not.
 routine sets mode to polygon</t>
  </si>
  <si>
    <t xml:space="preserve"> sets up the listbox with the full inventory of colors</t>
  </si>
  <si>
    <t xml:space="preserve"> returns the RGB name of the current selected color (shown in the selected color caption)</t>
  </si>
  <si>
    <t xml:space="preserve"> returns the RGB value (LONG) of the current selected color (shown in the selected color caption)</t>
  </si>
  <si>
    <t xml:space="preserve"> reads the colorbox selected color letter, and returns the offset for that selected color swatch.
 i.e. helps locate the name/color of the selected color letter.
 note that the select color is maintained in the Color Box Select Color caption, which is only updated by selecting a swatch color.</t>
  </si>
  <si>
    <t xml:space="preserve"> returns a value starting at zero with the relative offset from the start of the SheetSwatchCharacterIndex  for the letter
 i.e. helps map a color letter to an actual color name.</t>
  </si>
  <si>
    <t xml:space="preserve"> returns the character of the first letter to color mapping (Swatch list)</t>
  </si>
  <si>
    <t xml:space="preserve"> called when a selection is made in the color inventory list (in the select color panel) or by test color processing
 returns the cell for the RGB name of the color in the Inventory</t>
  </si>
  <si>
    <t xml:space="preserve"> utility to return the range of the RGB descriptions  in the inventory
 currently looks at column C (DESCRIPTION) of rgbName</t>
  </si>
  <si>
    <t xml:space="preserve">  utility to return the range of the RGB inventory names</t>
  </si>
  <si>
    <t xml:space="preserve"> returns the range of the first cell in the inventory range</t>
  </si>
  <si>
    <t xml:space="preserve"> sets the inventory sheet cell's interior color
 called when a color is created, deleted and changed.</t>
  </si>
  <si>
    <t xml:space="preserve"> after confirming the request, creates a new worksheet with the contents of the current worksheet.
 the new worksheet is flipped arouind the diagonal running from the upper left corner of the original
  cell(A,B) goes to cell(B,A) in the new sheet.</t>
  </si>
  <si>
    <t xml:space="preserve"> creates a new worksheet, readies it for use with colorbox and puts a sample pattern in</t>
  </si>
  <si>
    <t xml:space="preserve"> copies the selected area down in a mirrored fashion around the lower boundary of the selected area</t>
  </si>
  <si>
    <t xml:space="preserve"> looks to see if the colorbox addin is present and/or installed</t>
  </si>
  <si>
    <t>handles user request to configure the current sheet for colorbox (added in worksheet specific code to setup callbacks)</t>
  </si>
  <si>
    <t xml:space="preserve"> configures the input worksheet for use with the colorbox tools.
 sets up worksheet specific code.</t>
  </si>
  <si>
    <t xml:space="preserve"> sets up the labels which pair the letters with colors on the left side of the user form. (i.e the swatches)
 this routine creates the structure but does not load the actual letter/color data</t>
  </si>
  <si>
    <t xml:space="preserve"> looks at the letter to color swatches on the GUI and determines which one is selected
 selects the first one if no others are selected
 returns the character of the selected swatch, also puts this letter into the Select Color caption.</t>
  </si>
  <si>
    <t xml:space="preserve"> forces the selection of the first swatch</t>
  </si>
  <si>
    <t xml:space="preserve"> populates the displayed swatches, using the letter/color mapping from RGBName
  also recalculates the counts and the legend data</t>
  </si>
  <si>
    <t xml:space="preserve"> given input RGB values, updates the two closest colors arrays in the GUI
 after scanning the color inventory to find the closest (color distance) to the input values</t>
  </si>
  <si>
    <t xml:space="preserve"> UNUSED
 takes in cell presumed to have a long color value and returns the closest name in the palette</t>
  </si>
  <si>
    <t xml:space="preserve"> fills in the label details of a closes color label on the GUI</t>
  </si>
  <si>
    <t xml:space="preserve"> creates the color mixer labels, does not acually populate the labels with colors and data</t>
  </si>
  <si>
    <t xml:space="preserve"> populates the existing color mixer array with colors,
 walks thru each permutation of altering each rgb value by +increment, -increment and zero  against each permuatation of the other rgb values.
 applies color limits to stay within valid ranges</t>
  </si>
  <si>
    <t xml:space="preserve"> reacts to GUI color mixer actions,
  updates the color mixer panel text and background
  updates the closest color and mixer array displays</t>
  </si>
  <si>
    <t xml:space="preserve"> called from clsDynamicLabel.labelEvents_Click when a color label is clicked on,
 with the label name (used to determine the type of processing) and the caption
 updates mixer RGB values, selects color in color list</t>
  </si>
  <si>
    <t xml:space="preserve"> creates the labels for the closest color arrays. Does not populate the arrays with data</t>
  </si>
  <si>
    <t xml:space="preserve"> creates/updates the Legend sheet, showing the used colors and the corresponding letters.</t>
  </si>
  <si>
    <t xml:space="preserve"> determines if there are 3 alphas in prefix, if so, the Limit Names to Prefix is enabled</t>
  </si>
  <si>
    <t xml:space="preserve"> reads GUI prefix value and returns true if the filtering is on and the name starts with the prefix</t>
  </si>
  <si>
    <t xml:space="preserve"> initializes the Fader level list box</t>
  </si>
  <si>
    <t xml:space="preserve"> test tool, creates a set of graduated faded cells</t>
  </si>
  <si>
    <t xml:space="preserve"> applies the Fade panel fade setting levels to all used cells in the worksheet</t>
  </si>
  <si>
    <t xml:space="preserve"> applies the Fader panel fade level to all cells in the user selected range</t>
  </si>
  <si>
    <t xml:space="preserve"> core fade routine, takes input range, reads fade level and applies fading to each cell, reading the current color applied to each cell.
 not that it does not read the assign letter/color</t>
  </si>
  <si>
    <t xml:space="preserve"> calculate the saturation value of a cell's color value</t>
  </si>
  <si>
    <t xml:space="preserve"> calculate the luminosity of a cells color value</t>
  </si>
  <si>
    <t xml:space="preserve"> return min of two singles</t>
  </si>
  <si>
    <t xml:space="preserve"> return max of two singles</t>
  </si>
  <si>
    <t xml:space="preserve"> return max of two integers</t>
  </si>
  <si>
    <t xml:space="preserve"> populates the zoom levels for the GUI</t>
  </si>
  <si>
    <t xml:space="preserve"> reads the ZOOM level list to find the select level, then applies that level to the current sheet.</t>
  </si>
  <si>
    <t xml:space="preserve"> called from Colorbox GUI.
 centers the selected area and expands it up to 100% zoom ensuring that it still fits into the display window.</t>
  </si>
  <si>
    <t xml:space="preserve"> returns a string of current time, in seconds, with milliseconds provided</t>
  </si>
  <si>
    <t xml:space="preserve"> returns a double for seconds since 0000Z 1/1/70  with a granularity of milliseconds.</t>
  </si>
  <si>
    <t xml:space="preserve"> cell state initialization. Sets cell's address fields, value and formula in class</t>
  </si>
  <si>
    <t xml:space="preserve"> debug function</t>
  </si>
  <si>
    <t xml:space="preserve"> initializes clsCellChange , saving cell address, worksheet/cell address, to and from values and time.</t>
  </si>
  <si>
    <t xml:space="preserve"> empties stack</t>
  </si>
  <si>
    <t xml:space="preserve"> push item onto stack</t>
  </si>
  <si>
    <t xml:space="preserve"> pops item off of stack, returns the item</t>
  </si>
  <si>
    <t xml:space="preserve"> dumps a string as a set of ascii values (debug tool)</t>
  </si>
  <si>
    <t xml:space="preserve"> given a column letter, returns the column number</t>
  </si>
  <si>
    <t xml:space="preserve"> given an column number, returns the column name as a string (A, AC, etc)</t>
  </si>
  <si>
    <t xml:space="preserve"> returns the range that covers all used cells of the worksheet, starting from the upper left corner</t>
  </si>
  <si>
    <t xml:space="preserve"> returns the cell of the last used cell in an input column</t>
  </si>
  <si>
    <t xml:space="preserve"> returns the cell of the last used cell in an input row</t>
  </si>
  <si>
    <t xml:space="preserve"> given a input range and a letter, counts the number of cells in that range that contain that letter (only)</t>
  </si>
  <si>
    <t xml:space="preserve"> as user to confirm a request using a prompt. returns true/false
 this version does not check to see if confirms are disabled.</t>
  </si>
  <si>
    <t xml:space="preserve"> as user to confirm a request using a prompt. returns true/false</t>
  </si>
  <si>
    <t xml:space="preserve"> given a cell location, determines if any side of the cell is on a 10x10 grid border, and makes any such side a thicker line</t>
  </si>
  <si>
    <t xml:space="preserve"> move the focus from the current worksheet window to the next one</t>
  </si>
  <si>
    <t xml:space="preserve"> returns the range of cells that are currently displayed</t>
  </si>
  <si>
    <t xml:space="preserve"> puts the selected cell (or the upper left corner if more than one cell is selected)
  into the center of the display area or as far right as possible</t>
  </si>
  <si>
    <t xml:space="preserve"> returns true if symbol i</t>
  </si>
  <si>
    <t xml:space="preserve"> creates a string with the cell state array size and the undo queue depth</t>
  </si>
  <si>
    <t xml:space="preserve"> sets up initial conditions for undo functions
 clears out state recordings and changes
 set nextstate and NextChange pointers to top
 enables change recording, clears hasRange flag</t>
  </si>
  <si>
    <t xml:space="preserve"> handles a request to change the undo queue depth</t>
  </si>
  <si>
    <t xml:space="preserve"> fired when a cell is selected.
 records the contents of the selcted cell
 if more than one cell is selected, records the state of each cell in the area, and sets HaveSelectedRange to true
 if a single cell is selected, and a SelectedRange already exists, captures the state of the presumed paste range.
  (Selected cell extended by the rows/cols of the selected range)</t>
  </si>
  <si>
    <t xml:space="preserve"> returns a clsCellState for a string format cell address</t>
  </si>
  <si>
    <t xml:space="preserve"> returns the size of the cell state array</t>
  </si>
  <si>
    <t xml:space="preserve"> debug code</t>
  </si>
  <si>
    <t xml:space="preserve"> if called when logging is enabled, it records the change of each cell in the range
 it finds the last recorded state of the cell and if the new value is different, records a change record for it.
  The state of the cell is also updated</t>
  </si>
  <si>
    <t xml:space="preserve"> used to determine if a change queue entry can be updated instead of creating a new entry.
 returns true if the last entry in the queue is for the same cell and only the case is changing.</t>
  </si>
  <si>
    <t xml:space="preserve"> debug tool</t>
  </si>
  <si>
    <t xml:space="preserve"> rolls back changes to worksheet based on ChangeHistory</t>
  </si>
  <si>
    <t xml:space="preserve"> extracts sheet name from sheet!address</t>
  </si>
  <si>
    <t xml:space="preserve"> returns the range defined by a sSheetAddress sheet!addr</t>
  </si>
  <si>
    <t xml:space="preserve"> logging utility, writes to a tab "LOG"</t>
  </si>
  <si>
    <t xml:space="preserve"> initializes the log tab. Sets up header, records version.</t>
  </si>
  <si>
    <t xml:space="preserve"> If autoselect is enabled, puts the color symbol for the selected cell into the GUI Selected Cell area</t>
  </si>
  <si>
    <t xml:space="preserve"> if called with a single cell range, will display the text in the cell if the text is not shown (same color as background)
 returns true if the text was hidden when called.</t>
  </si>
  <si>
    <t xml:space="preserve"> Called by the button handler (butEvents_Click) in clsDynamicOptionButton with the name and caption of the button
  method by which the selection of a color swatch is reflected in the Selected Color caption and by which all of the derived data
 related to the selection of a swatch is updated.</t>
  </si>
  <si>
    <t xml:space="preserve"> called when the selected color letter is updated.
 updates the selected color box fore and background color
 calls the enable buttons routine for the select color panel
 NOTE - this routine was mostly gutted in 2.8 when this became a read-only field.</t>
  </si>
  <si>
    <t xml:space="preserve"> enables/disables the FIND related command buttons</t>
  </si>
  <si>
    <t xml:space="preserve"> enables the draw 10x10 buttons if the color box depth and width values are set in the GUI</t>
  </si>
  <si>
    <t xml:space="preserve"> enables APPLY CELL SIZE button if a cell size value is present</t>
  </si>
  <si>
    <t xml:space="preserve"> called when a swatch is selected on the GUI
 puts color related data into the Mixer panel
 updates the Closest Defined color and Mixer color displays
 calls for Select Color panel button enabling/disabling
 take the RGB name from the display color list and set the sample's back color to the correct RGB long value</t>
  </si>
  <si>
    <t xml:space="preserve"> called when user commands a color assignment for a swatch
 updates the data for the selected swatch label and calls for repopulating all of the displayed swatches</t>
  </si>
  <si>
    <t xml:space="preserve"> does a repaint of the entire tab (pattern)
 determines used area, then calls CB_Colorcell for that area</t>
  </si>
  <si>
    <t xml:space="preserve"> does a repaint of the currently selected area</t>
  </si>
  <si>
    <t xml:space="preserve"> initializes GRID size parameters on the GUI
 calls Find Grid Width Marker to find the data location then copies the data to the GUI</t>
  </si>
  <si>
    <t xml:space="preserve"> reads GUI 10x10 grid size data,
 makes sure that the values are captured on the RGBName sheet
 then repaints the 10x10 grid using the requested sizes</t>
  </si>
  <si>
    <t xml:space="preserve"> draws the 10x10 grid on the current sheet using the Grid size values to determine the number of 10x10 boxe3s across and down</t>
  </si>
  <si>
    <t xml:space="preserve"> using the keycell (A1) , populates the GUI with the cell height and width.</t>
  </si>
  <si>
    <t xml:space="preserve"> applies the GUI cell size height and width to the current pattern</t>
  </si>
  <si>
    <t xml:space="preserve"> forces cell size for current sheet to default values</t>
  </si>
  <si>
    <t xml:space="preserve"> scrolls the display 10 cells in the requested direction</t>
  </si>
  <si>
    <t xml:space="preserve"> clears a user selected area, removes contents (letters), formatting, Outline and arrows</t>
  </si>
  <si>
    <t xml:space="preserve"> updates a presumed RGB value by the step size. Ensures returned value is within 0 to 255 limit</t>
  </si>
  <si>
    <t xml:space="preserve"> handles spinner adjustments to matrix step sizes.</t>
  </si>
  <si>
    <t xml:space="preserve"> reads the default helppath from the RGBname sheet into the GUI</t>
  </si>
  <si>
    <t xml:space="preserve"> opens the help file</t>
  </si>
  <si>
    <t xml:space="preserve"> removes text from the right of the last slash (inclusive)</t>
  </si>
  <si>
    <t xml:space="preserve"> given a LONG color value, returns a name from the inventory that has that value
 returns an empty string if no match is made.
 returns the first match found</t>
  </si>
  <si>
    <t xml:space="preserve"> returns a list of letters that a provided color name is mapped to</t>
  </si>
  <si>
    <t xml:space="preserve"> returns the LONG color value for a letter, Return Black if the letter is not set up.</t>
  </si>
  <si>
    <t xml:space="preserve"> makes sure that an presumed single R, G or B value is 0 &lt;= color &lt;= 255</t>
  </si>
  <si>
    <t xml:space="preserve"> given a input letter, returns the RGB name for the assigned color</t>
  </si>
  <si>
    <t xml:space="preserve"> returns a color value (long) for a given RGB Name</t>
  </si>
  <si>
    <t xml:space="preserve"> returns the font color to be displayed in a cell given the cell background color. (Black font for light cells, white for dark cells)</t>
  </si>
  <si>
    <t xml:space="preserve"> reads the colorlist and saves the selected color name as the fore ground color. Used on dark backgrounds</t>
  </si>
  <si>
    <t xml:space="preserve"> reads the colorlist and saves the selected color name as the fore ground color. Used on light backgrounds</t>
  </si>
  <si>
    <t xml:space="preserve"> returns the linear distance between 2 three dimensional (R, G and B) points</t>
  </si>
  <si>
    <t xml:space="preserve"> given a long color, converts the value to RGB integer values, and returns the distance from that point to 0,0,0
  used to judge brightness of color</t>
  </si>
  <si>
    <t xml:space="preserve"> given an input text box (a GUI element), colors the background of the box
 using the letter entered in the box and the swatch mapping of letters to colors
  sets the text letter font color to be visible against the updated background</t>
  </si>
  <si>
    <t xml:space="preserve"> given an input text box, makes sure the text box is filled with a number 0 to 99
 if the text box contents don't meet the criteria, color the box border to warn the user
 otherwise remove any border coloring</t>
  </si>
  <si>
    <t xml:space="preserve"> given presumed RGB color value entries, limits values to 0-255</t>
  </si>
  <si>
    <t xml:space="preserve"> simple color name reformatter,  from from leftsource is 0119-Rosewood
 2 modes
 "n" - Removes the number and dash and replaces it with "her" :  herRosewood
 "d" - grabs the name and then creates number in prefixed with "her-"  : Rosewood her-0119</t>
  </si>
  <si>
    <t xml:space="preserve"> called with a system parameter range and a value
 locates the parameter in RGBName and updates the associated value</t>
  </si>
  <si>
    <t xml:space="preserve"> returns the angle (in degrees between two vectors (from 0,0,0) representing two RGB colors</t>
  </si>
  <si>
    <t xml:space="preserve"> returns the magnitude of a 3d vector</t>
  </si>
  <si>
    <t>Used Module</t>
  </si>
  <si>
    <t>Core Name</t>
  </si>
  <si>
    <t>Version</t>
  </si>
  <si>
    <t>Extension</t>
  </si>
  <si>
    <t>Library files</t>
  </si>
  <si>
    <t>bas</t>
  </si>
  <si>
    <t>1_0</t>
  </si>
  <si>
    <t>clsDynamicOptionButton</t>
  </si>
  <si>
    <t>cls</t>
  </si>
  <si>
    <t>clsDynamicLabel</t>
  </si>
  <si>
    <t>COLORBOX_SAMPLE.frm</t>
  </si>
  <si>
    <t>COLORBOX_SAMPLE</t>
  </si>
  <si>
    <t>frm</t>
  </si>
  <si>
    <t>COLORBOX_NEW_COLOR.frm</t>
  </si>
  <si>
    <t>COLORBOX_NEW_COLOR</t>
  </si>
  <si>
    <t>COLORBOX_NEW</t>
  </si>
  <si>
    <t>1_3b</t>
  </si>
  <si>
    <t>DumpAddress</t>
  </si>
  <si>
    <t>COLORBOX_BACKUP</t>
  </si>
  <si>
    <t>COLORBOX_FIND_CHANGE</t>
  </si>
  <si>
    <t>COLORBOX_DRAW_LINE</t>
  </si>
  <si>
    <t>COLORBOX_MULTIPAGE</t>
  </si>
  <si>
    <t>COLORBOX_REPORTS</t>
  </si>
  <si>
    <t>1_5</t>
  </si>
  <si>
    <t>COLORBOX_CONSTANTS</t>
  </si>
  <si>
    <t>COLORBOX_DRAW_CIRCLE</t>
  </si>
  <si>
    <t>1_3</t>
  </si>
  <si>
    <t>clsMyTextBox</t>
  </si>
  <si>
    <t>COLORBOX_HISTORY.frm</t>
  </si>
  <si>
    <t>COLORBOX_HISTORY</t>
  </si>
  <si>
    <t>1_1</t>
  </si>
  <si>
    <t>GenericYNQuestion.frm</t>
  </si>
  <si>
    <t>GenericYNQuestion</t>
  </si>
  <si>
    <t>GenericQuestion</t>
  </si>
  <si>
    <t>1_2</t>
  </si>
  <si>
    <t>COLORBOX.frm</t>
  </si>
  <si>
    <t>COLORBOX</t>
  </si>
  <si>
    <t>COLORBOX_FLIP</t>
  </si>
  <si>
    <t>COLORBOX_ADDIN</t>
  </si>
  <si>
    <t>COLORBOX_COLORED_ELEMENTS</t>
  </si>
  <si>
    <t>COLORBOX_FADER</t>
  </si>
  <si>
    <t>COLORBOX_SATURATION</t>
  </si>
  <si>
    <t>COLORBOX_ZOOM</t>
  </si>
  <si>
    <t>COLORBOX_TIME</t>
  </si>
  <si>
    <t>clsCellState</t>
  </si>
  <si>
    <t>clsStackItem.cls</t>
  </si>
  <si>
    <t>clsStackItem</t>
  </si>
  <si>
    <t>GenericSelect.frm</t>
  </si>
  <si>
    <t>GenericSelect</t>
  </si>
  <si>
    <t>clsStack</t>
  </si>
  <si>
    <t>COLORBOX_UTILITIES</t>
  </si>
  <si>
    <t>COLORBOX_UNDO</t>
  </si>
  <si>
    <t>COLORBOX_LOG</t>
  </si>
  <si>
    <t>COLORBOX_MAIN_GUI</t>
  </si>
  <si>
    <t>COLORBOX_HELP</t>
  </si>
  <si>
    <t>COLORBOX_COLOR_UTIL</t>
  </si>
  <si>
    <t>COLORBOX_LEFTBANK</t>
  </si>
  <si>
    <t>COLORBOX_SYS_PARMS</t>
  </si>
  <si>
    <t>COLORBOX_VECTOR_MATH</t>
  </si>
  <si>
    <t>COLORBOX_CONTROLS</t>
  </si>
  <si>
    <t>(sString As String)</t>
  </si>
  <si>
    <t>(sID As String, sCaption As String)</t>
  </si>
  <si>
    <t>IsNameInInventory</t>
  </si>
  <si>
    <t>(sName As String) As Boolean</t>
  </si>
  <si>
    <t>SetNamesClass</t>
  </si>
  <si>
    <t>CNC_NewNameEdit</t>
  </si>
  <si>
    <t>CNC_StoreNewColor</t>
  </si>
  <si>
    <t>UpdateNameInSwatches</t>
  </si>
  <si>
    <t>(sOldName As String, sNewName As String)</t>
  </si>
  <si>
    <t>CreateNormalName</t>
  </si>
  <si>
    <t>(sName As String) As String</t>
  </si>
  <si>
    <t>(rCell As Range, sDescr As String)</t>
  </si>
  <si>
    <t>() As String</t>
  </si>
  <si>
    <t>CountCharInString</t>
  </si>
  <si>
    <t>(sString As String, sChar As String) As Integer</t>
  </si>
  <si>
    <t>(sFilename As String) As String</t>
  </si>
  <si>
    <t>DisplayColorAsTest</t>
  </si>
  <si>
    <t>CountInstancesInRange</t>
  </si>
  <si>
    <t>(sTarget As String, rArea As Range) As Long</t>
  </si>
  <si>
    <t>CB_SwapLetters</t>
  </si>
  <si>
    <t>(sScope As String)</t>
  </si>
  <si>
    <t>(sMode As String)</t>
  </si>
  <si>
    <t>BagCount</t>
  </si>
  <si>
    <t>(aLine() As Range, sText As String)</t>
  </si>
  <si>
    <t>(eDir As EDIRECTION, sTag As String)</t>
  </si>
  <si>
    <t>(eDir As EDIRECTION) As String</t>
  </si>
  <si>
    <t>(FromRange As Range, ToRange As Range, Optional RGBcolor As Long, Optional LineType As String)</t>
  </si>
  <si>
    <t>CBDC_AssignCircleColorAction</t>
  </si>
  <si>
    <t>(sChar As String) As Boolean</t>
  </si>
  <si>
    <t>(sLetter As String, rRangeUnion As Range)</t>
  </si>
  <si>
    <t>SetupColorboxHistory</t>
  </si>
  <si>
    <t>PopulateColorboxHistory</t>
  </si>
  <si>
    <t>UpdateColorHistory</t>
  </si>
  <si>
    <t>driver</t>
  </si>
  <si>
    <t>AskGeneralQuestion</t>
  </si>
  <si>
    <t>HasCOLORBOXLoaded</t>
  </si>
  <si>
    <t>SelectedRGB</t>
  </si>
  <si>
    <t>SelectedColor</t>
  </si>
  <si>
    <t>CurrentSelectColorOffset</t>
  </si>
  <si>
    <t>(sLetter As String) As Integer</t>
  </si>
  <si>
    <t>RebuildrgbNameSheet</t>
  </si>
  <si>
    <t>ConfigureSheetForColorbox</t>
  </si>
  <si>
    <t>InitializeAlternateColorDistance</t>
  </si>
  <si>
    <t>SetupInventoryArray</t>
  </si>
  <si>
    <t>PopulateInventory</t>
  </si>
  <si>
    <t>ColorFromRGBValues</t>
  </si>
  <si>
    <t>CB_MIXER_CHANGE_COLOR</t>
  </si>
  <si>
    <t>(sLabelName As String, sCaption As String)</t>
  </si>
  <si>
    <t>(ctlLabel As MSForms.Label, iTop As Integer, iLeft As Integer, iWidth As Integer, iHeight As Integer, sCaption As String, sControlTipText As String)</t>
  </si>
  <si>
    <t>NameMeetsPrefixFilter</t>
  </si>
  <si>
    <t>(sColorName As String) As Boolean</t>
  </si>
  <si>
    <t>CB_Quick_ZOOM</t>
  </si>
  <si>
    <t>(sZoomLevel)</t>
  </si>
  <si>
    <t>CB_ZOOM_DELTA</t>
  </si>
  <si>
    <t>(sSign As String)</t>
  </si>
  <si>
    <t>(rCell As Range, sFromValue As String, ndEpochTime As Double)</t>
  </si>
  <si>
    <t>SelectFromCollection</t>
  </si>
  <si>
    <t>(cCollection As Collection) As String</t>
  </si>
  <si>
    <t>(sString As String) As String</t>
  </si>
  <si>
    <t>(iColumn As Integer) As String</t>
  </si>
  <si>
    <t>CountInstancesIn</t>
  </si>
  <si>
    <t>(sLetter As String, rArea As Range) As Integer</t>
  </si>
  <si>
    <t>(sPrompt As String) As Boolean</t>
  </si>
  <si>
    <t>(sValue As String) As Boolean</t>
  </si>
  <si>
    <t>UnDoCounts</t>
  </si>
  <si>
    <t>(sSheetnCell As String) As clsCellState</t>
  </si>
  <si>
    <t>(sSheetAddr As String) As String</t>
  </si>
  <si>
    <t>(sSheetAddr As String) As Range</t>
  </si>
  <si>
    <t>(sLogEntry As String)</t>
  </si>
  <si>
    <t>(sTime As String) As Range</t>
  </si>
  <si>
    <t>HandleColorListSelection</t>
  </si>
  <si>
    <t>CB_MakeColorAssignment</t>
  </si>
  <si>
    <t>CB_DoRepaint</t>
  </si>
  <si>
    <t>CB_DoRepaintSelection</t>
  </si>
  <si>
    <t>CB_RepaintDisplay</t>
  </si>
  <si>
    <t>CB_ShowJustColors</t>
  </si>
  <si>
    <t>CB_AdjustColor</t>
  </si>
  <si>
    <t>(sFilename) As String</t>
  </si>
  <si>
    <t>(sColorName As String) As String</t>
  </si>
  <si>
    <t>ColorUsedByLetters</t>
  </si>
  <si>
    <t>ColorForChar</t>
  </si>
  <si>
    <t>(sChar As String) As Long</t>
  </si>
  <si>
    <t>(iRed As Integer, iGreen As Integer, iBlue As Integer) As String</t>
  </si>
  <si>
    <t>ColorLimit</t>
  </si>
  <si>
    <t>(sLetter) As String</t>
  </si>
  <si>
    <t>(sRGB_Name As String) As Long</t>
  </si>
  <si>
    <t>ContrastingColorForText</t>
  </si>
  <si>
    <t>BW_TextColorForColor</t>
  </si>
  <si>
    <t>CB_AssignLightContrastingTextColor</t>
  </si>
  <si>
    <t>CB_AssignDarkContrastingTextColor</t>
  </si>
  <si>
    <t>DistanceBetweenRGBValues</t>
  </si>
  <si>
    <t>ColorTextBox</t>
  </si>
  <si>
    <t>ColorInvalid2DigitNumericTextbox</t>
  </si>
  <si>
    <t>AllowValidColorValues</t>
  </si>
  <si>
    <t>(sIn As String) As String</t>
  </si>
  <si>
    <t>ReformatLeftSourceYarnName</t>
  </si>
  <si>
    <t>(sParmName As String) As Range</t>
  </si>
  <si>
    <t>(sParmName As String, vValue As Variant)</t>
  </si>
  <si>
    <t>RGBAngle</t>
  </si>
  <si>
    <t>Debug.Print rCell.Cells.Count</t>
  </si>
  <si>
    <t xml:space="preserve"> creates the inventory labels, does not acually populate the labels with colors and data</t>
  </si>
  <si>
    <t xml:space="preserve"> populates the inventory display
  also recalculates the counts and the legend data</t>
  </si>
  <si>
    <t xml:space="preserve"> read collection, display in listbox, return selection or return nothing.</t>
  </si>
  <si>
    <t>Last Date</t>
  </si>
  <si>
    <t>Library Dates</t>
  </si>
  <si>
    <t>NO VERSION</t>
  </si>
  <si>
    <t>clsCellChange.cls</t>
  </si>
  <si>
    <t>clsCellChange</t>
  </si>
  <si>
    <r>
      <t>09/04/23</t>
    </r>
    <r>
      <rPr>
        <sz val="10"/>
        <color theme="1"/>
        <rFont val="Calibri"/>
        <family val="2"/>
        <scheme val="minor"/>
      </rPr>
      <t xml:space="preserve"> 7/15/2023</t>
    </r>
  </si>
  <si>
    <r>
      <t>1_3b</t>
    </r>
    <r>
      <rPr>
        <sz val="10"/>
        <color rgb="FF000000"/>
        <rFont val="Calibri"/>
        <family val="2"/>
        <scheme val="minor"/>
      </rPr>
      <t xml:space="preserve">  1_3a</t>
    </r>
  </si>
  <si>
    <r>
      <t>1_1</t>
    </r>
    <r>
      <rPr>
        <sz val="10"/>
        <color rgb="FF000000"/>
        <rFont val="Calibri"/>
        <family val="2"/>
        <scheme val="minor"/>
      </rPr>
      <t xml:space="preserve">  1_0</t>
    </r>
  </si>
  <si>
    <r>
      <t>1_2</t>
    </r>
    <r>
      <rPr>
        <sz val="10"/>
        <color rgb="FF000000"/>
        <rFont val="Calibri"/>
        <family val="2"/>
        <scheme val="minor"/>
      </rPr>
      <t xml:space="preserve">  1_1  1_0</t>
    </r>
  </si>
  <si>
    <t xml:space="preserve"> swaps the color mapping of the FROM and TO letters on the find page</t>
  </si>
  <si>
    <t xml:space="preserve"> test driver for fader page</t>
  </si>
  <si>
    <t xml:space="preserve"> sets zoom level to input value</t>
  </si>
  <si>
    <t xml:space="preserve"> changes zoom by zoom delta in sSign direction</t>
  </si>
  <si>
    <t xml:space="preserve"> given color name (Description - rgbWhite), returns string form of CSV values</t>
  </si>
  <si>
    <t xml:space="preserve"> empties and resets Log Sheet</t>
  </si>
  <si>
    <t>herDarkRoyalBlue</t>
  </si>
  <si>
    <t>herLightBlue</t>
  </si>
  <si>
    <t>COLORBOX_HISTORY_1_2.bas</t>
  </si>
  <si>
    <t>SetupSwatches</t>
  </si>
  <si>
    <t>OBEHandleSelectedColorUpdate</t>
  </si>
  <si>
    <t>OverrideHolder</t>
  </si>
  <si>
    <t>(eOVR As OVERRIDE_TYPE) As String</t>
  </si>
  <si>
    <t>FormatOverrides</t>
  </si>
  <si>
    <t>(iOvr As OVERRIDE_TYPE) As String</t>
  </si>
  <si>
    <t>DumpOverrideStates</t>
  </si>
  <si>
    <t>SetOverride</t>
  </si>
  <si>
    <t>(iOvr As OVERRIDE_TYPE, sCaller As String) As Boolean</t>
  </si>
  <si>
    <t>ForceClearOverride</t>
  </si>
  <si>
    <t>(iOvr As OVERRIDE_TYPE, sCaller As String)</t>
  </si>
  <si>
    <t>ClearOverride</t>
  </si>
  <si>
    <t>(iOvr As OVERRIDE_TYPE, bHadSetOverride As Boolean)</t>
  </si>
  <si>
    <t>IsOverrideSet</t>
  </si>
  <si>
    <t>(iOvr As OVERRIDE_TYPE) As Boolean</t>
  </si>
  <si>
    <t>CB_ColorSelectedArea</t>
  </si>
  <si>
    <t>ChangeSelectedLetter</t>
  </si>
  <si>
    <t>(sNewLetter As String)</t>
  </si>
  <si>
    <t>UpdateSelectedColorOption</t>
  </si>
  <si>
    <t xml:space="preserve"> given a color letter (or the symbol for random colors) and a set of cell locations,
 the colors of the range are set to that color.
Dim bWasGoFast As Boolean</t>
  </si>
  <si>
    <t xml:space="preserve"> returns true if the override had not been set before, but is now.
  meaning you have to release it.</t>
  </si>
  <si>
    <t xml:space="preserve"> routine to change the key data item sSelectedChar, and the two places where it is displayed
 called when the select text is changed by autoselect or other activity
 if the selected character is currently one of the displayed swatches letter, that item is marked as selected</t>
  </si>
  <si>
    <t xml:space="preserve"> call when the selected color CBSC_CHAR is changed, makes sure that the correct swatch is shown as selected</t>
  </si>
  <si>
    <r>
      <t>12/07/23</t>
    </r>
    <r>
      <rPr>
        <sz val="10"/>
        <color theme="1"/>
        <rFont val="Calibri"/>
        <family val="2"/>
        <scheme val="minor"/>
      </rPr>
      <t xml:space="preserve"> 06/06/23 6/5/2023</t>
    </r>
  </si>
  <si>
    <t xml:space="preserve"> returns the name of the last override applicator</t>
  </si>
  <si>
    <t xml:space="preserve"> creates a string for the enum override_type</t>
  </si>
  <si>
    <t xml:space="preserve"> clears an override without checking</t>
  </si>
  <si>
    <t xml:space="preserve"> clears an override if the caller was the one who had set the override</t>
  </si>
  <si>
    <t xml:space="preserve"> returns the state of the overide</t>
  </si>
  <si>
    <t xml:space="preserve"> applies the current selected color to the user selected area on the pattern</t>
  </si>
  <si>
    <t>Called by</t>
  </si>
  <si>
    <t>COLORBOX_SATURATION_1_0A.bas</t>
  </si>
  <si>
    <t>1_0A</t>
  </si>
  <si>
    <t>CNC_UpdateExistingColorForName</t>
  </si>
  <si>
    <t>ColorValueForRGBName</t>
  </si>
  <si>
    <r>
      <t>1_0A</t>
    </r>
    <r>
      <rPr>
        <sz val="10"/>
        <color rgb="FF000000"/>
        <rFont val="Calibri"/>
        <family val="2"/>
        <scheme val="minor"/>
      </rPr>
      <t xml:space="preserve">  1_0</t>
    </r>
  </si>
  <si>
    <r>
      <t>12/10/23</t>
    </r>
    <r>
      <rPr>
        <sz val="10"/>
        <color theme="1"/>
        <rFont val="Calibri"/>
        <family val="2"/>
        <scheme val="minor"/>
      </rPr>
      <t xml:space="preserve"> 9/28/2023</t>
    </r>
  </si>
  <si>
    <t>CBS_RED_SPINNER_SpinDown</t>
  </si>
  <si>
    <t>CBS_RED_SPINNER_SpinUp</t>
  </si>
  <si>
    <t>CBS_GREEN_SPINNER_SpinDown</t>
  </si>
  <si>
    <t>CBS_GREEN_SPINNER_SpinUp</t>
  </si>
  <si>
    <t>CBS_BLUE_SPINNER_SpinDown</t>
  </si>
  <si>
    <t>CBS_BLUE_SPINNER_SpinUp</t>
  </si>
  <si>
    <t>CBS_DARK_SPINNER_SpinDown</t>
  </si>
  <si>
    <t>CBS_DARK_SPINNER_SpinUp</t>
  </si>
  <si>
    <t>CBS_STEP_SPINNER_SpinUp</t>
  </si>
  <si>
    <t>CBS_STEP_SPINNER_SpinDown</t>
  </si>
  <si>
    <t>CBS_UPDATE_MIXER_Click</t>
  </si>
  <si>
    <t>CNC_Cancel_Click</t>
  </si>
  <si>
    <t>CNC_CLASS_LIST_Change</t>
  </si>
  <si>
    <t>CNC_CREATE_NEW_NAME_Click</t>
  </si>
  <si>
    <t>CNC_DELETE_EXISTING_Click</t>
  </si>
  <si>
    <t>CNC_RENAME_OLDNAME_Click</t>
  </si>
  <si>
    <t>CNC_UPDATE_EXISTING_Click</t>
  </si>
  <si>
    <t>CNC_NEWNAME_Change</t>
  </si>
  <si>
    <t>CBDA_SHOW_BOUNDARY_Click</t>
  </si>
  <si>
    <t>CPDA_SHOW_BOUNDARY_Click</t>
  </si>
  <si>
    <t>OptionButton1_Click</t>
  </si>
  <si>
    <t>OptionButton2_Click</t>
  </si>
  <si>
    <t>CB_ALL_REASSIGN_Click</t>
  </si>
  <si>
    <t>CB_ALPHABET_USAGE_AREA_Click</t>
  </si>
  <si>
    <t>CB_ALPHABET_USAGE_COMMAND_Click</t>
  </si>
  <si>
    <t>CB_ALTERNATE_DISTANCE_LIST_change</t>
  </si>
  <si>
    <t>CB_APPLY_CELL_SIZE_Click</t>
  </si>
  <si>
    <t>CB_AREA_REASSIGN_Click</t>
  </si>
  <si>
    <t>CB_ASSIGN_DARK_Click</t>
  </si>
  <si>
    <t>CB_ASSIGN_LIGHT_Click</t>
  </si>
  <si>
    <t>CB_AUTO_SELECT_Change</t>
  </si>
  <si>
    <t>CB_CLEAR_AREA_Click</t>
  </si>
  <si>
    <t>CB_CLEAR_HISTORY_Click</t>
  </si>
  <si>
    <t>CB_COLOR_SELECTION_Click</t>
  </si>
  <si>
    <t>CB_CONFIGURE_SHEET_Click</t>
  </si>
  <si>
    <t>CB_DISABLE_CONFIRM_Click</t>
  </si>
  <si>
    <t>CB_FADE_ALL_Click</t>
  </si>
  <si>
    <t>CB_FADE_SELECTION_Click</t>
  </si>
  <si>
    <t>CB_FIND_LOAD_Click</t>
  </si>
  <si>
    <t>CB_FIND_REPAINT_Click</t>
  </si>
  <si>
    <t>CB_FIND_ZOOM_MINUS_Click</t>
  </si>
  <si>
    <t>CB_FIND_ZOOM_PLUS_Click</t>
  </si>
  <si>
    <t>CB_FIND_ZOOM_SELECTION_Click</t>
  </si>
  <si>
    <t>CB_HELPPATH_DblClick</t>
  </si>
  <si>
    <t>(ByVal Cancel As MSForms.ReturnBoolean)</t>
  </si>
  <si>
    <t>CB_LIMIT_NAMES_Click</t>
  </si>
  <si>
    <t>CB_NEXT_INVALID_Click</t>
  </si>
  <si>
    <t>CB_PREFIX_Change</t>
  </si>
  <si>
    <t>CB_PRINT_Click</t>
  </si>
  <si>
    <t>CB_QZ_25_Click</t>
  </si>
  <si>
    <t>CB_REPAINT_DISPLAY_Click</t>
  </si>
  <si>
    <t>CB_RESTORE_FROM_BACKUP_Click</t>
  </si>
  <si>
    <t>CB_SHOW_10x10_change</t>
  </si>
  <si>
    <t>CB_SHOW_BORDERS_Change</t>
  </si>
  <si>
    <t>CB_SHOW_COLORS_Change</t>
  </si>
  <si>
    <t>CB_ShowLetters_Change</t>
  </si>
  <si>
    <t>CB_SWAP_Click</t>
  </si>
  <si>
    <t>CB_UNDO_Click</t>
  </si>
  <si>
    <t>CB_UNDO_DEPTH_AfterUpdate</t>
  </si>
  <si>
    <t>CB_UPDATE_COUNTS2_Click</t>
  </si>
  <si>
    <t>CB_ZOOM_SELECTION_Click</t>
  </si>
  <si>
    <t>CBP_MIN_LEFTOVER_Change</t>
  </si>
  <si>
    <t>CBP_THREAD_WASTE_PERCENTAGE_Click</t>
  </si>
  <si>
    <t>CBP_THREADS_PER_BAG_Change</t>
  </si>
  <si>
    <t>CBSC_ASSIGN_COLOR_Click</t>
  </si>
  <si>
    <t>CB_BACKUP_NOW_Click</t>
  </si>
  <si>
    <t>CB_CELL_SIZE_Change</t>
  </si>
  <si>
    <t>CBSC_COLOR_FILTER_Change</t>
  </si>
  <si>
    <t>CB_COLOR_MIXER_DblClick</t>
  </si>
  <si>
    <t>CB_CURRENT_ZOOM_DblClick</t>
  </si>
  <si>
    <t>CB_DEPTH_Change</t>
  </si>
  <si>
    <t>CB_DRAW10BY10_Click</t>
  </si>
  <si>
    <t>CB_EXIT_Click</t>
  </si>
  <si>
    <t>CBSC_FAMILY_FILTER_Change</t>
  </si>
  <si>
    <t>CB_FIND_NEXT_Click</t>
  </si>
  <si>
    <t>CB_FIND_TARGET_Change</t>
  </si>
  <si>
    <t>CB_FLIP_IT_Click</t>
  </si>
  <si>
    <t>CB_FROM_SYMBOL_Change</t>
  </si>
  <si>
    <t>CB_JUST_COLORS_Click</t>
  </si>
  <si>
    <t>CB_MATRIX_SPINNER_SpinUp</t>
  </si>
  <si>
    <t>CB_MATRIX_SPINNER_SpinDown</t>
  </si>
  <si>
    <t>()      ' MATRIX STEP SIZE SPINNER</t>
  </si>
  <si>
    <t>CB_MIRROR_DOWN_Click</t>
  </si>
  <si>
    <t>CB_MIRROR_RIGHT_Click</t>
  </si>
  <si>
    <t>CB_MIXER_LT_SPINNER_SpinUp</t>
  </si>
  <si>
    <t>CB_MIXER_LT_SPINNER_SpinDown</t>
  </si>
  <si>
    <t>CB_MIXER_RED_SPIN_SpinUp</t>
  </si>
  <si>
    <t>CB_MIXER_RED_SPIN_SpinDown</t>
  </si>
  <si>
    <t>CB_MIXER_GREEN_SPIN_SpinUp</t>
  </si>
  <si>
    <t>CB_MIXER_GREEN_SPIN_SpinDown</t>
  </si>
  <si>
    <t>CB_MIXER_BLUE_SPIN_SpinUp</t>
  </si>
  <si>
    <t>CB_MIXER_BLUE_SPIN_SpinDown</t>
  </si>
  <si>
    <t>CB_MIXER_RED_VALUE_Change</t>
  </si>
  <si>
    <t>CB_MIXER_GREEN_VALUE_Change</t>
  </si>
  <si>
    <t>CB_MIXER_BLUE_VALUE_Change</t>
  </si>
  <si>
    <t>CB_MIXER_RED_VALUE_AfterUpdate</t>
  </si>
  <si>
    <t>CB_MIXER_GREEN_VALUE_AfterUpdate</t>
  </si>
  <si>
    <t>CB_MIXER_BLUE_VALUE_AfterUpdate</t>
  </si>
  <si>
    <t>CB_MIXER_SAVE_NEW_Click</t>
  </si>
  <si>
    <t>CB_MIXER_STEP_SPINNER_SpinDown</t>
  </si>
  <si>
    <t>CB_MIXER_STEP_SPINNER_SpinUp</t>
  </si>
  <si>
    <t>CB_MOVESWATCH_SP_SpinDown</t>
  </si>
  <si>
    <t>CB_MOVESWATCH_SP_SpinUp</t>
  </si>
  <si>
    <t>CB_NEW_WORK_SHEET_Click</t>
  </si>
  <si>
    <t>CB_OPEN_HELP_Click</t>
  </si>
  <si>
    <t>CB_Open_New_Window_Click</t>
  </si>
  <si>
    <t>CB_OPEN_NEXT_WINDOW_Click</t>
  </si>
  <si>
    <t>CB_RefreshCount_Click</t>
  </si>
  <si>
    <t>CB_REPAINT_Click</t>
  </si>
  <si>
    <t>CB_REPAINT_SELECTION_Click</t>
  </si>
  <si>
    <t>CB_RESET_Click</t>
  </si>
  <si>
    <t>CB_RGB_CALCULATED_Click</t>
  </si>
  <si>
    <t>CB_SAVE_Click</t>
  </si>
  <si>
    <t>CB_SCROLL_DOWN_Click</t>
  </si>
  <si>
    <t>CB_SCROLL_LEFT_Click</t>
  </si>
  <si>
    <t>CB_SCROLL_RIGHT_Click</t>
  </si>
  <si>
    <t>CB_SCROLL_UP_Click</t>
  </si>
  <si>
    <t>CB_SHOW_HISTORY_Click</t>
  </si>
  <si>
    <t>CBSC_TEST_COLOR_MouseDown</t>
  </si>
  <si>
    <t>CBSC_TEST_COLOR_MouseUp</t>
  </si>
  <si>
    <t>CB_TO_SYMBOL_Change</t>
  </si>
  <si>
    <t>CB_ToolBox_Click</t>
  </si>
  <si>
    <t>(ByVal Index As Long)</t>
  </si>
  <si>
    <t>CB_WIDTH_Change</t>
  </si>
  <si>
    <t>CB_ZOOM_BOX_DblClick</t>
  </si>
  <si>
    <t>CBLP_ASSIGN_Click</t>
  </si>
  <si>
    <t>CBLP_LINE_OPTION_Click</t>
  </si>
  <si>
    <t>CBLP_POLYGON_OPTION_Click</t>
  </si>
  <si>
    <t>CBLP_REMOVE_MARKERS_Click</t>
  </si>
  <si>
    <t>CBLP_SYMBOL_Change</t>
  </si>
  <si>
    <t>CBDC_ASSIGN_CIRCLE_Click</t>
  </si>
  <si>
    <t>CBDC_CIRCLE_SYMBOL_Change</t>
  </si>
  <si>
    <t>CBDC_COL_INTEGER_AfterUpdate</t>
  </si>
  <si>
    <t>CBDC_INITIALIZE_CENTER_POINT_Click</t>
  </si>
  <si>
    <t>CBDC_RADIUS_Change</t>
  </si>
  <si>
    <t>CBDC_ROW_Change</t>
  </si>
  <si>
    <t>CBSC_CLEAR_FILTERS_Click</t>
  </si>
  <si>
    <t>CNC_DOUBLE_CLICK_PROMPT_Click</t>
  </si>
  <si>
    <t>COLORLIST_Click</t>
  </si>
  <si>
    <t>CB_MOVESWATCH2_SP_SpinDown</t>
  </si>
  <si>
    <t>CB_MOVESWATCH2_SP_SpinUp</t>
  </si>
  <si>
    <t>GS_Cancel_Click</t>
  </si>
  <si>
    <t>GS_Listbox_Click</t>
  </si>
  <si>
    <t>GS_Listbox_DblClick</t>
  </si>
  <si>
    <t>GS_UseSelected_Click</t>
  </si>
  <si>
    <t xml:space="preserve"> close the sample box</t>
  </si>
  <si>
    <t xml:space="preserve"> change the Red value down</t>
  </si>
  <si>
    <t xml:space="preserve"> increase the red value</t>
  </si>
  <si>
    <t xml:space="preserve"> decrease the green value</t>
  </si>
  <si>
    <t xml:space="preserve"> increase the green value</t>
  </si>
  <si>
    <t xml:space="preserve"> decrease the blue value</t>
  </si>
  <si>
    <t xml:space="preserve"> increase the blue value</t>
  </si>
  <si>
    <t xml:space="preserve"> make all of the rgb values lower</t>
  </si>
  <si>
    <t xml:space="preserve"> make all of the RGB values greater</t>
  </si>
  <si>
    <t xml:space="preserve"> increase the step size</t>
  </si>
  <si>
    <t xml:space="preserve"> decrease the step size</t>
  </si>
  <si>
    <t xml:space="preserve"> save the updates to the sample rgb values, update the mixer and close the sample box</t>
  </si>
  <si>
    <t xml:space="preserve"> user asked to close the A/M/D color box</t>
  </si>
  <si>
    <t xml:space="preserve"> the selected color class list changed, update the form</t>
  </si>
  <si>
    <t xml:space="preserve"> the user asked to store the new color name, do it, close the form</t>
  </si>
  <si>
    <t xml:space="preserve"> the user asked to delete an existing color, do it and close the form</t>
  </si>
  <si>
    <t xml:space="preserve"> the yser asked to rename an old color</t>
  </si>
  <si>
    <t xml:space="preserve"> the user asked to update an existing color, do it, close the form</t>
  </si>
  <si>
    <t xml:space="preserve"> the user changed the new name of the color, update the form</t>
  </si>
  <si>
    <t xml:space="preserve"> the user asked to have the polygon boundaries drawn</t>
  </si>
  <si>
    <t xml:space="preserve"> the user asked to add a point to the end of the list</t>
  </si>
  <si>
    <t xml:space="preserve"> the user wants to remove a point from the list</t>
  </si>
  <si>
    <t xml:space="preserve"> the user selected a point in the list</t>
  </si>
  <si>
    <t xml:space="preserve"> the user wants to clear out the polygon point list and restart</t>
  </si>
  <si>
    <t xml:space="preserve"> the user wants to move a corner point left</t>
  </si>
  <si>
    <t xml:space="preserve"> the user wants to move a corner point right</t>
  </si>
  <si>
    <t xml:space="preserve"> the user wants to move a corner point up</t>
  </si>
  <si>
    <t xml:space="preserve"> the user wants to move a corner point down</t>
  </si>
  <si>
    <t xml:space="preserve"> the user wants the polygon to be shown</t>
  </si>
  <si>
    <t xml:space="preserve"> user asked to close the mixer history form</t>
  </si>
  <si>
    <t xml:space="preserve"> Yes hit'</t>
  </si>
  <si>
    <t xml:space="preserve"> No hit</t>
  </si>
  <si>
    <t xml:space="preserve"> user clicked re-assign all in change panel</t>
  </si>
  <si>
    <t xml:space="preserve"> user requested Color Counts report. Generate AlphaBet Usage report</t>
  </si>
  <si>
    <t xml:space="preserve"> user said to apply View -&gt; Cell Size value from GUI</t>
  </si>
  <si>
    <t xml:space="preserve"> user commanded change in selected area of From letters to TO Letters</t>
  </si>
  <si>
    <t xml:space="preserve"> user requests to clear the selected area of the pattern</t>
  </si>
  <si>
    <t xml:space="preserve"> user requested to configure the sheet to work with the colorbox. Causes worksheet code to be updated</t>
  </si>
  <si>
    <t xml:space="preserve"> user requested colors to be faded on the current sheet</t>
  </si>
  <si>
    <t xml:space="preserve"> user requested to fade the selected area</t>
  </si>
  <si>
    <t xml:space="preserve"> user requested to assign selected letter to selected color</t>
  </si>
  <si>
    <t xml:space="preserve"> user asked for immedeiate backup creation</t>
  </si>
  <si>
    <t xml:space="preserve"> cell size was updated, see about enabliing the buttons to apply the change</t>
  </si>
  <si>
    <t xml:space="preserve"> the user updated a color filter value, apply the update</t>
  </si>
  <si>
    <t xml:space="preserve"> user double clicked on Mixer "white space", pop up the sample panel</t>
  </si>
  <si>
    <t xml:space="preserve"> handle double click of ZOOM value.</t>
  </si>
  <si>
    <t xml:space="preserve"> user changed 10x10 depth value, see if functions are now executable</t>
  </si>
  <si>
    <t xml:space="preserve"> user asked for 10x10 to be drawn. Read the 10x10 grid size and redraw it</t>
  </si>
  <si>
    <t xml:space="preserve"> close the color box gui</t>
  </si>
  <si>
    <t xml:space="preserve"> user updated the color family filter value, update the color list</t>
  </si>
  <si>
    <t xml:space="preserve"> user asked to find the next instance of the find letter in the worksheet</t>
  </si>
  <si>
    <t xml:space="preserve"> user changed the find target value. Go look for it</t>
  </si>
  <si>
    <t xml:space="preserve"> user asked to rotate pattern about the x/y diagonal</t>
  </si>
  <si>
    <t xml:space="preserve"> user changed the change FROM characer, re-act to it</t>
  </si>
  <si>
    <t xml:space="preserve"> user asked to reduce GUI down to just the swatches</t>
  </si>
  <si>
    <t xml:space="preserve"> user asked to increase the matrix step size</t>
  </si>
  <si>
    <t xml:space="preserve"> user asked to decrease the matrix step size</t>
  </si>
  <si>
    <t xml:space="preserve"> user asked to take the selected area and to mirror it below itself</t>
  </si>
  <si>
    <t xml:space="preserve"> user asked to take the selected area and to mirror it to its left</t>
  </si>
  <si>
    <t xml:space="preserve"> user asked to decreates the RGB values for the mixer</t>
  </si>
  <si>
    <t xml:space="preserve"> user asked to increase RED value in mixer</t>
  </si>
  <si>
    <t xml:space="preserve"> user asked to decrease RED value in mixer</t>
  </si>
  <si>
    <t xml:space="preserve"> user asked to increase GREEN value in mixer</t>
  </si>
  <si>
    <t xml:space="preserve"> user asked to decrease GREEN value in mixer</t>
  </si>
  <si>
    <t xml:space="preserve"> user asked to increase BLUE value in mixer</t>
  </si>
  <si>
    <t xml:space="preserve"> user asked to decrease Blue value in mixer</t>
  </si>
  <si>
    <t xml:space="preserve"> the user entered a new RED value, process the update
Call CB_LOG("red value entered")</t>
  </si>
  <si>
    <t xml:space="preserve"> the user entered a new GREEN  value, process the update
Call CB_LOG("green value entered")</t>
  </si>
  <si>
    <t xml:space="preserve"> the user entered a new BLUE value, process the update
Call CB_LOG("blue value entered")</t>
  </si>
  <si>
    <t xml:space="preserve"> handle mixer RED value change</t>
  </si>
  <si>
    <t xml:space="preserve"> handle mixer GREEN value update</t>
  </si>
  <si>
    <t xml:space="preserve"> handle mixer blue value update</t>
  </si>
  <si>
    <t xml:space="preserve"> user asked to save the new color in mixer, open the save form</t>
  </si>
  <si>
    <t xml:space="preserve"> user asked to descrease the mixer step size</t>
  </si>
  <si>
    <t xml:space="preserve"> user asked to increase the mixer step size</t>
  </si>
  <si>
    <t xml:space="preserve"> user asked to move a swatch down</t>
  </si>
  <si>
    <t xml:space="preserve"> user asked to move a swatch up</t>
  </si>
  <si>
    <t xml:space="preserve"> user asked to create a new worksheet (i.e. pattern)</t>
  </si>
  <si>
    <t xml:space="preserve"> user asked to open the help file</t>
  </si>
  <si>
    <t xml:space="preserve"> user asked to open a new window. Open a new window (with the same worksheet as before) and set the zoom level</t>
  </si>
  <si>
    <t xml:space="preserve"> the user asked to go to the next window</t>
  </si>
  <si>
    <t xml:space="preserve"> the user asked to refresh the color counts</t>
  </si>
  <si>
    <t xml:space="preserve"> the user asked to repain the entire page</t>
  </si>
  <si>
    <t xml:space="preserve"> the user asked to repaint the selected area</t>
  </si>
  <si>
    <t xml:space="preserve"> development tool. the user asked to set the color mode back to normal (letter entry sets cell color)
 and asked to restart the GUI</t>
  </si>
  <si>
    <t xml:space="preserve"> user clicked in mixer white space, open the sample form</t>
  </si>
  <si>
    <t xml:space="preserve"> user asked to save the workbook</t>
  </si>
  <si>
    <t xml:space="preserve"> user asked to scroll the worksheet down</t>
  </si>
  <si>
    <t xml:space="preserve"> user asked to scroll the worksheet left</t>
  </si>
  <si>
    <t xml:space="preserve"> user asked to scroll the worksheet right</t>
  </si>
  <si>
    <t xml:space="preserve"> user asked to scroll the worksheet up</t>
  </si>
  <si>
    <t xml:space="preserve"> user asked to see color mixer history</t>
  </si>
  <si>
    <t xml:space="preserve"> user is holding down "test color" button</t>
  </si>
  <si>
    <t xml:space="preserve"> user stopped holding down test color button</t>
  </si>
  <si>
    <t xml:space="preserve"> user changed the "TO" letter in the change panel, process it</t>
  </si>
  <si>
    <t xml:space="preserve"> User just clicked on the multipage tool box tab
 resize the GUI depending on the tool box sub page selecte.</t>
  </si>
  <si>
    <t xml:space="preserve"> user just changed the number of 10x10 boxes in the horizonal direction to mark</t>
  </si>
  <si>
    <t xml:space="preserve"> the user just selected a new zoom value</t>
  </si>
  <si>
    <t xml:space="preserve"> the user asked to change from polygon mode to line mode</t>
  </si>
  <si>
    <t xml:space="preserve"> the user asked to change from line mode to polygon mode</t>
  </si>
  <si>
    <t xml:space="preserve"> the user asked to remove the markings for line/polygon corner points</t>
  </si>
  <si>
    <t xml:space="preserve"> the user just changed the polygon letter, process the change</t>
  </si>
  <si>
    <t xml:space="preserve"> the user asked to set the letters for all of the cells impacted by the current circle parameters</t>
  </si>
  <si>
    <t xml:space="preserve"> the user just changed the letter to be applied for a circle</t>
  </si>
  <si>
    <t xml:space="preserve"> the user updated the center column value, process the update</t>
  </si>
  <si>
    <t xml:space="preserve"> user asked to have the center of the circle flashed</t>
  </si>
  <si>
    <t xml:space="preserve"> the user asked to have the circle flashed</t>
  </si>
  <si>
    <t xml:space="preserve"> the user asked to set the circle center point to the selected cell</t>
  </si>
  <si>
    <t xml:space="preserve"> the user updated the circle radius value</t>
  </si>
  <si>
    <t xml:space="preserve"> the user updated the circle center's row value</t>
  </si>
  <si>
    <t xml:space="preserve"> user asked to clear filters in select colors</t>
  </si>
  <si>
    <t xml:space="preserve"> user clicked in new color area, need to popup sample</t>
  </si>
  <si>
    <t xml:space="preserve"> user selection of a color name in the color list</t>
  </si>
  <si>
    <t xml:space="preserve"> user request to move swatch down</t>
  </si>
  <si>
    <t xml:space="preserve"> user request to move swatch up</t>
  </si>
  <si>
    <t>1_3a</t>
  </si>
  <si>
    <r>
      <t>1_5</t>
    </r>
    <r>
      <rPr>
        <sz val="10"/>
        <color rgb="FF000000"/>
        <rFont val="Calibri"/>
        <family val="2"/>
        <scheme val="minor"/>
      </rPr>
      <t xml:space="preserve">  1_4a  1_4</t>
    </r>
  </si>
  <si>
    <r>
      <t>12/29/23</t>
    </r>
    <r>
      <rPr>
        <sz val="10"/>
        <color theme="1"/>
        <rFont val="Calibri"/>
        <family val="2"/>
        <scheme val="minor"/>
      </rPr>
      <t xml:space="preserve"> 09/06/23 6/29/2023</t>
    </r>
  </si>
  <si>
    <r>
      <t>1_5</t>
    </r>
    <r>
      <rPr>
        <sz val="10"/>
        <color rgb="FF000000"/>
        <rFont val="Calibri"/>
        <family val="2"/>
        <scheme val="minor"/>
      </rPr>
      <t xml:space="preserve">  1_0</t>
    </r>
  </si>
  <si>
    <r>
      <t>01/05/24</t>
    </r>
    <r>
      <rPr>
        <sz val="10"/>
        <color theme="1"/>
        <rFont val="Calibri"/>
        <family val="2"/>
        <scheme val="minor"/>
      </rPr>
      <t xml:space="preserve"> 12/24/2023</t>
    </r>
  </si>
  <si>
    <r>
      <t>12/10/23</t>
    </r>
    <r>
      <rPr>
        <sz val="10"/>
        <color theme="1"/>
        <rFont val="Calibri"/>
        <family val="2"/>
        <scheme val="minor"/>
      </rPr>
      <t xml:space="preserve"> NO_DATE</t>
    </r>
  </si>
  <si>
    <r>
      <t>1_3a</t>
    </r>
    <r>
      <rPr>
        <sz val="10"/>
        <color rgb="FF000000"/>
        <rFont val="Calibri"/>
        <family val="2"/>
        <scheme val="minor"/>
      </rPr>
      <t xml:space="preserve">  1_3  1_2  1_1A  1_1  1_0</t>
    </r>
  </si>
  <si>
    <r>
      <t>01/07/24</t>
    </r>
    <r>
      <rPr>
        <sz val="10"/>
        <color theme="1"/>
        <rFont val="Calibri"/>
        <family val="2"/>
        <scheme val="minor"/>
      </rPr>
      <t xml:space="preserve"> 12/26/23 12/19/23 12/11/23 12/09/23 11/12/2023</t>
    </r>
  </si>
  <si>
    <r>
      <t>1_3</t>
    </r>
    <r>
      <rPr>
        <sz val="10"/>
        <color rgb="FF000000"/>
        <rFont val="Calibri"/>
        <family val="2"/>
        <scheme val="minor"/>
      </rPr>
      <t xml:space="preserve">  1_2  1_1a</t>
    </r>
  </si>
  <si>
    <r>
      <t>01/01/24</t>
    </r>
    <r>
      <rPr>
        <sz val="10"/>
        <color theme="1"/>
        <rFont val="Calibri"/>
        <family val="2"/>
        <scheme val="minor"/>
      </rPr>
      <t xml:space="preserve"> 12/06/23 8/29/2023</t>
    </r>
  </si>
  <si>
    <r>
      <t>1_5</t>
    </r>
    <r>
      <rPr>
        <sz val="10"/>
        <color rgb="FF000000"/>
        <rFont val="Calibri"/>
        <family val="2"/>
        <scheme val="minor"/>
      </rPr>
      <t xml:space="preserve">  1_4  1_2A  1_2  1_1  1_0</t>
    </r>
  </si>
  <si>
    <r>
      <t>12/12/23</t>
    </r>
    <r>
      <rPr>
        <sz val="10"/>
        <color theme="1"/>
        <rFont val="Calibri"/>
        <family val="2"/>
        <scheme val="minor"/>
      </rPr>
      <t xml:space="preserve"> 12/09/23 12/06/23 11/13/23 11/10/23 NO_DATE</t>
    </r>
  </si>
  <si>
    <t>COLORBOX_DRAW_LINE_1_5.bas</t>
  </si>
  <si>
    <t>COLORBOX_MULTIPAGE_1_5.bas</t>
  </si>
  <si>
    <t>GenericSelect_1_1.bas</t>
  </si>
  <si>
    <t>COLORBOX_CONTROLS_1_3a.bas</t>
  </si>
  <si>
    <t>COLORBOX_FADER_1_3.bas</t>
  </si>
  <si>
    <t>COLORBOX_LOG_1_5.bas</t>
  </si>
  <si>
    <t>ProcessMultiPageSelection</t>
  </si>
  <si>
    <t>GotoMultipageTab</t>
  </si>
  <si>
    <t>(sPageName As String)</t>
  </si>
  <si>
    <t>CBDC_FlashCenterpoint</t>
  </si>
  <si>
    <t>CB_CLEAN_PATTERNS_Click</t>
  </si>
  <si>
    <t>CB_COLOR_DISTANCE_SPINNER1_SpinDown</t>
  </si>
  <si>
    <t>CB_COLOR_DISTANCE_SPINNER1_SpinUp</t>
  </si>
  <si>
    <t>CB_COLOR_DISTANCE_SPINNER2_SpinDown</t>
  </si>
  <si>
    <t>CB_COLOR_DISTANCE_SPINNER2_SpinUp</t>
  </si>
  <si>
    <t>CB_DISABLE_Click</t>
  </si>
  <si>
    <t>CB_END_SELECTION_Click</t>
  </si>
  <si>
    <t>CB_FIND_FLASH_AREA_MouseDown</t>
  </si>
  <si>
    <t>CB_FIND_FLASH_AREA_MouseUp</t>
  </si>
  <si>
    <t>CB_FLASH_CHANGE_MouseDown</t>
  </si>
  <si>
    <t>CB_FLASH_CHANGE_MouseUp</t>
  </si>
  <si>
    <t>CB_FLASH_INVALID_MouseDown</t>
  </si>
  <si>
    <t>CB_FLASH_INVALID_MouseUp</t>
  </si>
  <si>
    <t>CB_PIVOT_DOWN_Click</t>
  </si>
  <si>
    <t>CB_REMOVE_INVALID_MARKING_Click</t>
  </si>
  <si>
    <t>CB_FIND_FLASH_MouseDown</t>
  </si>
  <si>
    <t>CB_FIND_FLASH_MouseUp</t>
  </si>
  <si>
    <t>CB_FIND_FLASH_OTHERS_MouseDown</t>
  </si>
  <si>
    <t>CB_FIND_FLASH_OTHERS_MouseUp</t>
  </si>
  <si>
    <t>CB_HIDE_UNUSED_SWATCHES_Click</t>
  </si>
  <si>
    <t>CB_LEFTSOURCE_YARN_Click</t>
  </si>
  <si>
    <t>CB_REPAINT_CHAR_Click</t>
  </si>
  <si>
    <t>CB_SCROLL_DOWN_LEFT_Click</t>
  </si>
  <si>
    <t>CB_SCROLL_DOWN_RIGHT_Click</t>
  </si>
  <si>
    <t>CB_SCROLL_UP_LEFT_Click</t>
  </si>
  <si>
    <t>CB_SCROLL_UP_RIGHT_Click</t>
  </si>
  <si>
    <t>CB_SHOW_NAMES_IN_SWATCH_Click</t>
  </si>
  <si>
    <t>CB_START_SELECTION_Click</t>
  </si>
  <si>
    <t>CBLP_ADD_POINT_Click</t>
  </si>
  <si>
    <t>CBLP_COPY_Click</t>
  </si>
  <si>
    <t>CBLP_CUT_CANCEL_Click</t>
  </si>
  <si>
    <t>CBLP_CUT_Click</t>
  </si>
  <si>
    <t>CBLP_DOWN_LEFT_Click</t>
  </si>
  <si>
    <t>CBLP_DOWN_RIGHT_Click</t>
  </si>
  <si>
    <t>CBLP_ENABLE_PT_SELECTION_Click</t>
  </si>
  <si>
    <t>CBLP_PASTE_CMD_Click</t>
  </si>
  <si>
    <t>CBLP_SET_PASTE_POINT_Click</t>
  </si>
  <si>
    <t>CBLP_UP_LEFT_Click</t>
  </si>
  <si>
    <t>CBLP_UP_RIGHT_Click</t>
  </si>
  <si>
    <t>CB_PIVOT_RIGHT_Click</t>
  </si>
  <si>
    <t>CBSC_FLASH_COLOR_MouseDown</t>
  </si>
  <si>
    <t>CBSC_FLASH_COLOR_MouseUp</t>
  </si>
  <si>
    <t>CBLP_FLASH_AREA_MouseDown</t>
  </si>
  <si>
    <t>CBLP_FLASH_AREA_MouseUp</t>
  </si>
  <si>
    <t>CBLP_SELECTED_AREA_Click</t>
  </si>
  <si>
    <t>CBDC_FLASH_CENTER_MouseDown</t>
  </si>
  <si>
    <t>CBDC_FLASH_CENTER_MouseUp</t>
  </si>
  <si>
    <t>CBDC_FLASH_CIRCLE_MouseDown</t>
  </si>
  <si>
    <t>CBDC_FLASH_CIRCLE_Mouseup</t>
  </si>
  <si>
    <t>CBLP_ADD_POINT_AFTER_Click</t>
  </si>
  <si>
    <t>CBLP_DELETE_POINT_Click</t>
  </si>
  <si>
    <t>CBLP_POINT_LIST_Click</t>
  </si>
  <si>
    <t>CBLP_RESTART_Click</t>
  </si>
  <si>
    <t>CBLP_LEFT_Click</t>
  </si>
  <si>
    <t>CBLP_RIGHT_Click</t>
  </si>
  <si>
    <t>CBLP_UP_Click</t>
  </si>
  <si>
    <t>CBLP_DOWN_Click</t>
  </si>
  <si>
    <t>CB_StartSelection</t>
  </si>
  <si>
    <t>CB_EndSelection</t>
  </si>
  <si>
    <t>Selection_EnableButtons</t>
  </si>
  <si>
    <t>(sPorM As String)</t>
  </si>
  <si>
    <t>GetColorDistanceMethod</t>
  </si>
  <si>
    <t>DisplayColorDistanceMethod</t>
  </si>
  <si>
    <t>ChangeColorDistanceMethod</t>
  </si>
  <si>
    <t>(iDelta As Integer)</t>
  </si>
  <si>
    <t>InititalizeSwatchAndChar</t>
  </si>
  <si>
    <t>MoveSwatchEnable</t>
  </si>
  <si>
    <t>GetCase</t>
  </si>
  <si>
    <t>(sLetter As String) As String</t>
  </si>
  <si>
    <t>SetupColorLabel</t>
  </si>
  <si>
    <t>HandleCellSelection</t>
  </si>
  <si>
    <t>UpdateCurrentLetter</t>
  </si>
  <si>
    <t>HandleOptionDblClick</t>
  </si>
  <si>
    <t>CB_RepaintColor</t>
  </si>
  <si>
    <t>(Optional vChar As Variant)</t>
  </si>
  <si>
    <t>(iRight As Integer, iDown As Integer)</t>
  </si>
  <si>
    <t>(rCell As Range) As String</t>
  </si>
  <si>
    <t>ClearColorboxSuspended</t>
  </si>
  <si>
    <t>CB_ToggleSuspendColorbox</t>
  </si>
  <si>
    <t>SetColorboxSuspended</t>
  </si>
  <si>
    <t>isColorboxSuspended</t>
  </si>
  <si>
    <t>ForceResetAllOverrides</t>
  </si>
  <si>
    <t>(sCaller As String)</t>
  </si>
  <si>
    <t>FlashInvalid</t>
  </si>
  <si>
    <t>FlashSelectedColor</t>
  </si>
  <si>
    <t>FlashAllFindTarget</t>
  </si>
  <si>
    <t>FlashAreaFindTarget</t>
  </si>
  <si>
    <t>FlashOtherFindTarget</t>
  </si>
  <si>
    <t>DisplayColorChangeAsTest</t>
  </si>
  <si>
    <t>ToFromEnableButtons</t>
  </si>
  <si>
    <t>IsColorBoxGUI_Up</t>
  </si>
  <si>
    <t>ValidateDoUndo</t>
  </si>
  <si>
    <t>UndoStackMaxDepth</t>
  </si>
  <si>
    <t>ColorAsGradient</t>
  </si>
  <si>
    <t>(sCSV As String, iOutRed As Integer, iOutGreen As Integer, iOutBlue As Integer)</t>
  </si>
  <si>
    <t>RGBHexFromMSoftLongColor</t>
  </si>
  <si>
    <t>(sCSV As String) As Long</t>
  </si>
  <si>
    <t>(sCSV As String) As String</t>
  </si>
  <si>
    <t>ConvertTo2DigitHex</t>
  </si>
  <si>
    <t>(iColor As Integer) As String</t>
  </si>
  <si>
    <t>ColorComboBox</t>
  </si>
  <si>
    <t>(objComboBox As MSForms.ComboBox)</t>
  </si>
  <si>
    <t>Format_eMode</t>
  </si>
  <si>
    <t>(eIn As EMENU_MODE)</t>
  </si>
  <si>
    <t>DumpStringAsAscii</t>
  </si>
  <si>
    <t>DumpUsedRanges</t>
  </si>
  <si>
    <t>ClearBeyondPatternEdges</t>
  </si>
  <si>
    <t>RemoveBorders</t>
  </si>
  <si>
    <t>TruncateStringBeforeCRLF</t>
  </si>
  <si>
    <t>IntegerFromString</t>
  </si>
  <si>
    <t>(sString As String) As Integer</t>
  </si>
  <si>
    <t>IsCellSelected</t>
  </si>
  <si>
    <t xml:space="preserve"> handle option button (color swatch) double click</t>
  </si>
  <si>
    <t xml:space="preserve"> change the multipage CB_toolbox to the requested page</t>
  </si>
  <si>
    <t xml:space="preserve"> user requested thread usage in area</t>
  </si>
  <si>
    <t xml:space="preserve"> changes the closest alternative color method</t>
  </si>
  <si>
    <t xml:space="preserve"> makes assignment of dark test color</t>
  </si>
  <si>
    <t xml:space="preserve"> makes assignment of light test color</t>
  </si>
  <si>
    <t xml:space="preserve"> change to auto select color</t>
  </si>
  <si>
    <t xml:space="preserve"> removes junk contents of cell beyond used area of pattern</t>
  </si>
  <si>
    <t xml:space="preserve"> clears undo history</t>
  </si>
  <si>
    <t xml:space="preserve"> back up one in color distance method</t>
  </si>
  <si>
    <t xml:space="preserve"> advance one in color distance method</t>
  </si>
  <si>
    <t xml:space="preserve"> user asked to color the selected area with the current color</t>
  </si>
  <si>
    <t xml:space="preserve"> user asked to suspend color box processing</t>
  </si>
  <si>
    <t xml:space="preserve"> user changed confirm disable switch</t>
  </si>
  <si>
    <t xml:space="preserve"> user selected end of range cell</t>
  </si>
  <si>
    <t xml:space="preserve"> user pressed the find all button</t>
  </si>
  <si>
    <t xml:space="preserve"> user released flash area button</t>
  </si>
  <si>
    <t xml:space="preserve"> user wants to flash a change</t>
  </si>
  <si>
    <t xml:space="preserve"> user released flash change</t>
  </si>
  <si>
    <t xml:space="preserve"> user wants to flash invalid cells</t>
  </si>
  <si>
    <t xml:space="preserve"> flash invlaid released</t>
  </si>
  <si>
    <t xml:space="preserve"> the user asked to Pivot the selection down</t>
  </si>
  <si>
    <t>user requested that the invalid markings be removed</t>
  </si>
  <si>
    <t>user released the button</t>
  </si>
  <si>
    <t xml:space="preserve"> user pressed find others in area</t>
  </si>
  <si>
    <t xml:space="preserve"> user released find others button</t>
  </si>
  <si>
    <t xml:space="preserve"> user asked to load selected color as find letter</t>
  </si>
  <si>
    <t xml:space="preserve"> user requested repaint from narrow window</t>
  </si>
  <si>
    <t xml:space="preserve"> user asked to zoom out</t>
  </si>
  <si>
    <t xml:space="preserve"> zoom in</t>
  </si>
  <si>
    <t xml:space="preserve"> zoom out</t>
  </si>
  <si>
    <t xml:space="preserve"> user double clicked on help path</t>
  </si>
  <si>
    <t xml:space="preserve"> user changed Hide unused swatches contol</t>
  </si>
  <si>
    <t xml:space="preserve"> user requested to update rgbname from yarn page</t>
  </si>
  <si>
    <t xml:space="preserve"> user clicked on Select color limit names control</t>
  </si>
  <si>
    <t xml:space="preserve"> user asked to move to the next invalid cell</t>
  </si>
  <si>
    <t xml:space="preserve"> the used changed the name prefix</t>
  </si>
  <si>
    <t xml:space="preserve"> user requested to print worksheet
ActiveSheet.PrintOut preview:=True</t>
  </si>
  <si>
    <t xml:space="preserve"> 25% zoom request</t>
  </si>
  <si>
    <t xml:space="preserve"> user requested repaint of the current color</t>
  </si>
  <si>
    <t xml:space="preserve"> user requested repaint of everything</t>
  </si>
  <si>
    <t xml:space="preserve"> user requested restore from backup</t>
  </si>
  <si>
    <t xml:space="preserve"> user wants to go left, down</t>
  </si>
  <si>
    <t xml:space="preserve"> user wants to go right, down</t>
  </si>
  <si>
    <t xml:space="preserve"> user wants to go left, up</t>
  </si>
  <si>
    <t xml:space="preserve"> user wants to go right, up</t>
  </si>
  <si>
    <t xml:space="preserve"> user changed show 10x10 control</t>
  </si>
  <si>
    <t xml:space="preserve"> user changed  show borders</t>
  </si>
  <si>
    <t>user changed show colors"</t>
  </si>
  <si>
    <t xml:space="preserve"> user changed SHOW NAMES IN SWATCH control"</t>
  </si>
  <si>
    <t xml:space="preserve"> user changed SHOW LETTERS control</t>
  </si>
  <si>
    <t xml:space="preserve"> user picked start of selection area</t>
  </si>
  <si>
    <t xml:space="preserve"> user pressed swap colors on find panel</t>
  </si>
  <si>
    <t xml:space="preserve"> user pressed undo</t>
  </si>
  <si>
    <t xml:space="preserve"> user changed the UNDO depth</t>
  </si>
  <si>
    <t xml:space="preserve"> user requested an update to the display counts</t>
  </si>
  <si>
    <t xml:space="preserve"> user requested to zoom on the selected area</t>
  </si>
  <si>
    <t xml:space="preserve"> add user selected point to polugon list</t>
  </si>
  <si>
    <t xml:space="preserve"> user asked to start copy and paste</t>
  </si>
  <si>
    <t xml:space="preserve"> user cancelled either start cut/copy paste</t>
  </si>
  <si>
    <t xml:space="preserve"> user asked to start cut and paste</t>
  </si>
  <si>
    <t xml:space="preserve"> move point down, left</t>
  </si>
  <si>
    <t xml:space="preserve"> move point down and right</t>
  </si>
  <si>
    <t xml:space="preserve"> user clicked the Enable Point selection toggle in the shapes panel</t>
  </si>
  <si>
    <t xml:space="preserve"> user asked for paste</t>
  </si>
  <si>
    <t xml:space="preserve"> user wants to set paste point</t>
  </si>
  <si>
    <t xml:space="preserve"> move point up and left</t>
  </si>
  <si>
    <t xml:space="preserve"> move point up and right</t>
  </si>
  <si>
    <t xml:space="preserve"> user changed the Minimum leftover parameters in the reports area</t>
  </si>
  <si>
    <t xml:space="preserve"> user changed the thread waste percentage in reports area</t>
  </si>
  <si>
    <t xml:space="preserve"> user changed the threads per bag control in reports area</t>
  </si>
  <si>
    <t xml:space="preserve"> user asked to increase mixer RGB values for each color</t>
  </si>
  <si>
    <t xml:space="preserve"> user pressed the Flash Color on the Select Color page</t>
  </si>
  <si>
    <t>user released CBSC FLASH COLOR button</t>
  </si>
  <si>
    <t xml:space="preserve"> the user just asked to assign a letter to the contents of a polygon or line</t>
  </si>
  <si>
    <t xml:space="preserve"> the user asked to flash the polygon/line</t>
  </si>
  <si>
    <t xml:space="preserve"> Flash area button released</t>
  </si>
  <si>
    <t xml:space="preserve"> user changed shapes mode to Selected Area"</t>
  </si>
  <si>
    <t xml:space="preserve"> flash circle center button released</t>
  </si>
  <si>
    <t xml:space="preserve"> if there is one current selected cell, take it as the start of the selection area</t>
  </si>
  <si>
    <t xml:space="preserve"> if there is one current selected cell, take it as the end of the selection. Select the area and display its address range</t>
  </si>
  <si>
    <t xml:space="preserve"> logic to control the enabling/disabling of the Start/End selection command buttons</t>
  </si>
  <si>
    <t xml:space="preserve"> copies the select area in a mirror fashion around the right edge of the selected area
 call with P to pivot around the right most column (leaving it uncopied) or Mirrored around the right most columns edge (copying the right most column over</t>
  </si>
  <si>
    <t xml:space="preserve"> provides the value of the color distance method</t>
  </si>
  <si>
    <t xml:space="preserve"> common routine for the display of color distance method</t>
  </si>
  <si>
    <t xml:space="preserve"> respond to a user request to change the color distance value</t>
  </si>
  <si>
    <t xml:space="preserve"> sets enable/disable states for the move swatches buttons</t>
  </si>
  <si>
    <t xml:space="preserve"> creates a label on the form.  Does not populate it with data</t>
  </si>
  <si>
    <t xml:space="preserve"> cancel pressed</t>
  </si>
  <si>
    <t xml:space="preserve"> user pressed list box</t>
  </si>
  <si>
    <t xml:space="preserve"> user double clicked list box. Take the answer and close</t>
  </si>
  <si>
    <t xml:space="preserve"> user click the list box, take the answer and close</t>
  </si>
  <si>
    <t xml:space="preserve"> called when one or more pattern cells area updated
 sets up environment if it has not already been done
 if only one cell is updated,
       if the cell is blank, sets the cell color to white, otherwise it calls the Color Cell routine</t>
  </si>
  <si>
    <t xml:space="preserve"> colors in an area using the letter in each cell to determine the displayed color
  core  function
  using main panel options to determine if the cell shows any of
       the letter, the color, the cell outline or the 10x10 outlines
  calls backup routine
 this routine assumes that all overrides needed to stop unwanted processing have been applied,
  with the except of GO_FAST. That overide is set here</t>
  </si>
  <si>
    <t xml:space="preserve"> updates the display current letter data</t>
  </si>
  <si>
    <t xml:space="preserve"> handler for swatch double click. The color is set as the selected color and loaded into the mixer
 the mixer sampler is then shown. When closed, the mixer tab is selected.</t>
  </si>
  <si>
    <t xml:space="preserve"> enables / disables TEST and ASSIGN color command buttons on Select Color panel</t>
  </si>
  <si>
    <t xml:space="preserve"> repaints the currently selected color (CBSC_CHAR)
  used after changing a letters assigned color</t>
  </si>
  <si>
    <t xml:space="preserve"> puts non-standard text (arrows) in scroll button captions
COLORBOX.CB_SCROLL_DOWN.Caption = ChrW(DOWN_ARROW_CODE) '(8681)</t>
  </si>
  <si>
    <t xml:space="preserve"> looks for the leftsource tab "yarn" which contains their yarn mappings and updates the RGB swatches to reflect them</t>
  </si>
  <si>
    <t xml:space="preserve"> Spreadsheet function:  given a Hex value for a color, provide the name of the closest matching color</t>
  </si>
  <si>
    <t xml:space="preserve"> removes color box suspended status.</t>
  </si>
  <si>
    <t xml:space="preserve"> toggles color box suspended status</t>
  </si>
  <si>
    <t xml:space="preserve"> sets colorbox suspended status</t>
  </si>
  <si>
    <t xml:space="preserve"> returns true if colorbox is suspended</t>
  </si>
  <si>
    <t xml:space="preserve"> releases all overrides.</t>
  </si>
  <si>
    <t xml:space="preserve"> Flashes cells without single letter entries</t>
  </si>
  <si>
    <t xml:space="preserve"> flash the color in the CBSC_CHAR field</t>
  </si>
  <si>
    <t xml:space="preserve"> flashes all instances of a target in the used part of the pattern</t>
  </si>
  <si>
    <t xml:space="preserve"> does the flashing of the target letters in an area</t>
  </si>
  <si>
    <t xml:space="preserve"> flashes cells in an area which don't match the target</t>
  </si>
  <si>
    <t xml:space="preserve"> determines a flash area :
  if a polygon is current displayed, it is the polygon
  if a polygon is not defined, and an area of more than 1 cell is selected. the area is used
 the area is filtered for cells that match the Change FROM letter
 the cells are colored with the TO color</t>
  </si>
  <si>
    <t xml:space="preserve"> returns true if the color box GUI is loaded.</t>
  </si>
  <si>
    <t xml:space="preserve"> determines if the UNDO Button should be enabled</t>
  </si>
  <si>
    <t xml:space="preserve"> returns the value of the Max Undo Queue depth</t>
  </si>
  <si>
    <t xml:space="preserve"> keeps a record of the last state of a cell
 handles both single and multiple cell ranges
 either updates an existing cell record or creates a new one</t>
  </si>
  <si>
    <t xml:space="preserve"> FUNCTION in test - colors cells in a center out gradient.</t>
  </si>
  <si>
    <t xml:space="preserve"> given a comma separated CSV string, returns the integer red, green, blue values
  updated 12/10
 note that there may be more text after the last number
 CSV  RED, GREEN, BLUE</t>
  </si>
  <si>
    <t xml:space="preserve"> given a LONG color value, returns the Red, Green and Blue values as a comma separated string
  updated 12/10
 LONG VALUES :  Blue * 256^2 +  Green * 256   + Blue
 CSV         :  RED , GREEN , Blue</t>
  </si>
  <si>
    <t xml:space="preserve"> Microsoft Long colors are of the form Blue * 256^2 + Green * 256 + Red   (i.e. BBGGRR)
 RGB hex is Red, Green, Blue</t>
  </si>
  <si>
    <t xml:space="preserve"> takes an integer presumed to be 0 - 255 and returns a 2 digit hex value (zero padded)</t>
  </si>
  <si>
    <t xml:space="preserve"> given integer red, green and blue values, returns a comma separated string of these values
  updated 12/10
 CSV  RED, GREEN, BLUE</t>
  </si>
  <si>
    <t xml:space="preserve"> returns LONG type color value from integer RGB values     LONG VALUES :  Blue * 256^2 +  Green * 256   + Blue
 updated 12/10</t>
  </si>
  <si>
    <t xml:space="preserve"> given an input LONG color, returns intege RED, GREEN and BLUE values
 updated 12/10</t>
  </si>
  <si>
    <t xml:space="preserve"> color in a combo based on its contents. Used for Symbol Cache</t>
  </si>
  <si>
    <t xml:space="preserve"> debug formatter for EMENU_MODE</t>
  </si>
  <si>
    <t xml:space="preserve"> removes text, formatting and borders outside presumed area of pattern</t>
  </si>
  <si>
    <t xml:space="preserve"> removes the borders for a cell (range)</t>
  </si>
  <si>
    <t xml:space="preserve"> takes an input string and returns all text prior to the earliest of a CR or LF.</t>
  </si>
  <si>
    <t xml:space="preserve"> extracts an integer from a string that is presumed to start with digits, but may contain a space or other text at some point.
 returns the integer found starting at the front of the string</t>
  </si>
  <si>
    <t xml:space="preserve"> returns true if one or more cells are selected on the current worksheet</t>
  </si>
  <si>
    <t>SP_SHOW_NAMES_IN_SWATCH</t>
  </si>
  <si>
    <t>SP_HIDE_UNUSED_SWATCHES</t>
  </si>
  <si>
    <t xml:space="preserve">Unused </t>
  </si>
  <si>
    <t>COLORBOX_DRAW_CIRCLE_1_9a.bas</t>
  </si>
  <si>
    <t>1_9a</t>
  </si>
  <si>
    <t>COLORBOX_CUT_AND_PASTE_1_0.bas</t>
  </si>
  <si>
    <t>COLORBOX_CUT_AND_PASTE</t>
  </si>
  <si>
    <t>COLORBOX_FLASH_AREA</t>
  </si>
  <si>
    <t>COLORBOX_POLYGON_CORE</t>
  </si>
  <si>
    <t>COLORBOX_POLYGON_GUI_1_8.bas</t>
  </si>
  <si>
    <t>COLORBOX_POLYGON_GUI</t>
  </si>
  <si>
    <t>1_8</t>
  </si>
  <si>
    <t>COLORBOX_POLYGON_MATH_1_1.bas</t>
  </si>
  <si>
    <t>COLORBOX_POLYGON_MATH</t>
  </si>
  <si>
    <t>COLORBOX_POLYGON_RANDOM</t>
  </si>
  <si>
    <t>COLORBOX_TIMER</t>
  </si>
  <si>
    <t>COLORBOX_COUNTS_1_3.bas</t>
  </si>
  <si>
    <t>COLORBOX_COUNTS</t>
  </si>
  <si>
    <t>GetSysParmIndex</t>
  </si>
  <si>
    <t>CreateSysParm</t>
  </si>
  <si>
    <t>(sParmName) As Range</t>
  </si>
  <si>
    <t>GetPastePointRow</t>
  </si>
  <si>
    <t>GetPastePointCol</t>
  </si>
  <si>
    <t>CBLP_SetPastePoint</t>
  </si>
  <si>
    <t>CBLP_StartCopy</t>
  </si>
  <si>
    <t>CBLP_StartCut</t>
  </si>
  <si>
    <t>SetCutAndPasteMode</t>
  </si>
  <si>
    <t>ClearCutAndPaste</t>
  </si>
  <si>
    <t>IsCutAndPasteActive</t>
  </si>
  <si>
    <t>CutAndPasteEnableButtons</t>
  </si>
  <si>
    <t>CBLP_ExecuteCutPaste</t>
  </si>
  <si>
    <t>UseExternalFlashArea</t>
  </si>
  <si>
    <t>(rExternal As Range)</t>
  </si>
  <si>
    <t>IsFlashAreaEmpty</t>
  </si>
  <si>
    <t>ResetFlashArea</t>
  </si>
  <si>
    <t>ReverseVideoFlashArea</t>
  </si>
  <si>
    <t>BuildFindFlashArea</t>
  </si>
  <si>
    <t>(eMode As FLASH_MODE, sTarget As String)</t>
  </si>
  <si>
    <t>FlashInvalidArea</t>
  </si>
  <si>
    <t>ResetInvalidArea</t>
  </si>
  <si>
    <t>FlashAreaWithColor</t>
  </si>
  <si>
    <t>GetCurrentPolygonRange</t>
  </si>
  <si>
    <t>IsPolygonDisplayed</t>
  </si>
  <si>
    <t>CBLP_GetTopRow</t>
  </si>
  <si>
    <t>CBLP_GetLeftMostColumnInTopRow</t>
  </si>
  <si>
    <t>GetShapeMode</t>
  </si>
  <si>
    <t>() As SHAPE_MODE_TYPE</t>
  </si>
  <si>
    <t>SetShapeMode</t>
  </si>
  <si>
    <t>(eNewMode As SHAPE_MODE_TYPE)</t>
  </si>
  <si>
    <t>FormatShapeMode</t>
  </si>
  <si>
    <t>(eMode As SHAPE_MODE_TYPE)</t>
  </si>
  <si>
    <t>CBLP_FlashShape</t>
  </si>
  <si>
    <t>BuildLineSegmentRangeUnion</t>
  </si>
  <si>
    <t>CBLP_InitializeShapeMode</t>
  </si>
  <si>
    <t>CBLP_AddPointToListEnd</t>
  </si>
  <si>
    <t>RefreshPolygonOutline</t>
  </si>
  <si>
    <t>DrawPolygonOutline</t>
  </si>
  <si>
    <t>(iSize As Integer)</t>
  </si>
  <si>
    <t>CBLP_InsertHalfwayPoint</t>
  </si>
  <si>
    <t>Rebuild_aPolygon</t>
  </si>
  <si>
    <t>DisplayPolygonExtent</t>
  </si>
  <si>
    <t>DumpaPolygon</t>
  </si>
  <si>
    <t>CBLP_Build_aPolygonForSelectedArea</t>
  </si>
  <si>
    <t>EnterPolygonPtMode</t>
  </si>
  <si>
    <t>ChangePolygonPtMode</t>
  </si>
  <si>
    <t>ExitPolygonPtMode</t>
  </si>
  <si>
    <t>CBLP_SetupPolygonMode</t>
  </si>
  <si>
    <t>CBLP_SetupLineMode</t>
  </si>
  <si>
    <t>CBLP_SetupSelectionMode</t>
  </si>
  <si>
    <t>InitializeSymbolCache</t>
  </si>
  <si>
    <t>CBLP_CACHE_SYMBOL</t>
  </si>
  <si>
    <t>CBLP_MarkSelection</t>
  </si>
  <si>
    <t>CBLP_UnmarkSelection</t>
  </si>
  <si>
    <t>CBLP_RemovePoint</t>
  </si>
  <si>
    <t>CBLP_PointListItemClicked</t>
  </si>
  <si>
    <t>LoadBoundaryListBox</t>
  </si>
  <si>
    <t>GetBoundaryColor</t>
  </si>
  <si>
    <t>(sType As String) As Long</t>
  </si>
  <si>
    <t>PopulateRandomColorDictionary</t>
  </si>
  <si>
    <t>AddToColorSequence</t>
  </si>
  <si>
    <t>(sLetter As String, iCount As Integer)</t>
  </si>
  <si>
    <t>DumpColorSequence</t>
  </si>
  <si>
    <t>ReturnSequenceColorLetter</t>
  </si>
  <si>
    <t>StartButtonTimer</t>
  </si>
  <si>
    <t>ClearButtonTimer</t>
  </si>
  <si>
    <t>TimeSinceTimerStart</t>
  </si>
  <si>
    <t>() As Date</t>
  </si>
  <si>
    <t>IsCommandTimerInHold</t>
  </si>
  <si>
    <t>ColorButton</t>
  </si>
  <si>
    <t>LetterUsageCount</t>
  </si>
  <si>
    <t>(sChar) As Integer</t>
  </si>
  <si>
    <t>UpdateCounts</t>
  </si>
  <si>
    <t>FirstUsedLetter</t>
  </si>
  <si>
    <t xml:space="preserve"> returns the current range of sysparm variable names</t>
  </si>
  <si>
    <t xml:space="preserve"> initializes Colorbox GUI settings using system parameters</t>
  </si>
  <si>
    <t xml:space="preserve"> gets the row of the paste point</t>
  </si>
  <si>
    <t xml:space="preserve"> gets the column of the paste point</t>
  </si>
  <si>
    <t xml:space="preserve"> validates user selection of paste point.</t>
  </si>
  <si>
    <t xml:space="preserve"> sets up to copy polygon</t>
  </si>
  <si>
    <t xml:space="preserve"> gets up to cut polygon</t>
  </si>
  <si>
    <t xml:space="preserve"> handle user call to enable cut and paste</t>
  </si>
  <si>
    <t xml:space="preserve"> handle user call do disable cut and paste</t>
  </si>
  <si>
    <t xml:space="preserve"> check state of cut and paste</t>
  </si>
  <si>
    <t xml:space="preserve"> enable/disable cut and paste buttons</t>
  </si>
  <si>
    <t xml:space="preserve"> called to replicate the currently selected polygon's data moved by the up/down and left/right distances
 if the current mode is cut, the old data is removed before the move</t>
  </si>
  <si>
    <t xml:space="preserve"> copies in range to FlashAre</t>
  </si>
  <si>
    <t xml:space="preserve"> returns true if flash area is empty</t>
  </si>
  <si>
    <t xml:space="preserve"> RESTORES FLASHED AREA TO ITS NORMAL STATE
 assumes FlashArea</t>
  </si>
  <si>
    <t xml:space="preserve"> puts each cell in area into a flash mode, where the cell's colors and text colors are reversed
 assumes rFlashArea</t>
  </si>
  <si>
    <t xml:space="preserve"> builds the FlashArea, which consists of
 FLASH_MODE                   AREA          CONDITION
 ALL                        displayed area    matches sChar
 AREA                       selected area    matches schar
 NOT_MATCH                  selected area    does not match sChar
 INVALID                    displayed area  contents is not a single letter A-Z, a-z  (call with dummy parm)
 Dim sTarget As String</t>
  </si>
  <si>
    <t xml:space="preserve"> displays the flash range as red colored cells with black borders
 assumes rFlashArea</t>
  </si>
  <si>
    <t xml:space="preserve"> colors the cells in the common flash area with the designated color
 assumes rFlashArea</t>
  </si>
  <si>
    <t xml:space="preserve"> colors the cells in the common flash area with the designated color
 assumes rFlashArea
Call CB_LOG("in flash area with color " &amp; rFlashArea.Address)</t>
  </si>
  <si>
    <t xml:space="preserve"> api to see if a polygon is displayed on the pattern</t>
  </si>
  <si>
    <t xml:space="preserve"> gets top row of polygon</t>
  </si>
  <si>
    <t xml:space="preserve"> gets left most column number of top row of polygon</t>
  </si>
  <si>
    <t xml:space="preserve"> gets shape mode</t>
  </si>
  <si>
    <t xml:space="preserve"> sets shape mode</t>
  </si>
  <si>
    <t xml:space="preserve"> debug formatter for enumerated type</t>
  </si>
  <si>
    <t xml:space="preserve"> returns true if the polygon point list in the user form has 3 or more points in it OR the Shape mode is AREA and at least 2 rows and cols are selected</t>
  </si>
  <si>
    <t xml:space="preserve"> line/polygon routine for flashing a polygon or line segment's cells.</t>
  </si>
  <si>
    <t xml:space="preserve"> builds a range union containing all of the cells contained within the line defined by draw line panel parameters</t>
  </si>
  <si>
    <t xml:space="preserve"> line/polygon routine for assigning letters to an area</t>
  </si>
  <si>
    <t xml:space="preserve"> puts the polygon/line/area options into a known state</t>
  </si>
  <si>
    <t xml:space="preserve"> determines the cells deemed to be inside (a part of) a polygon defined by the set of points.
 uses aPolyon</t>
  </si>
  <si>
    <t xml:space="preserve"> called from ColorBoxMain driver if the mode is polygon and a cell has been double clicked.
 processes the double click as a request to add a cell to the point list if the cell was not already in the list,
  removes the cell from the list if it was presumed to be in the list</t>
  </si>
  <si>
    <t xml:space="preserve"> handles a user request to draw a polygon's corners and outline</t>
  </si>
  <si>
    <t xml:space="preserve"> reads the list of polygon points from an array and marks each corner cell and draws a line between successive corners
 this routine assumes that aPolygon exists</t>
  </si>
  <si>
    <t xml:space="preserve"> reads list box to create polygon array of ranges
 the function returns the size of the polygon array
 it also sets the common variables
      iTopRow  : the lowest number (higher on screen) row in the polygon
      iLeftMostColumnInTopRow</t>
  </si>
  <si>
    <t xml:space="preserve"> populates COLORBOX.CBLP_BOUNDS with the number of rows/columns covered by the polygon</t>
  </si>
  <si>
    <t xml:space="preserve"> debug tool, shows the contents of the polygon array</t>
  </si>
  <si>
    <t xml:space="preserve"> reads the application selection area and builds a polygon structure for it.</t>
  </si>
  <si>
    <t xml:space="preserve"> condition system to treat double clicks as polygon point selections</t>
  </si>
  <si>
    <t xml:space="preserve"> flip the polygon point mode</t>
  </si>
  <si>
    <t xml:space="preserve"> get out of Polygon point mode</t>
  </si>
  <si>
    <t xml:space="preserve"> sets command button captions for polygon mode, instead of line mode
COLORBOX.CBLP_DEFINE_POLYGON.Caption = "Define Polygon"</t>
  </si>
  <si>
    <t xml:space="preserve"> sets command button captions for line mode, instead of polygon mode
COLORBOX.CBLP_DEFINE_POLYGON.Caption = "Define Line"</t>
  </si>
  <si>
    <t xml:space="preserve"> sets command button captions for sequence mode
COLORBOX.CBLP_DEFINE_POLYGON.Caption = "Use Selected Area"</t>
  </si>
  <si>
    <t xml:space="preserve"> puts a single value A into the symbol cache to make sure it is not empty</t>
  </si>
  <si>
    <t xml:space="preserve"> called when a new symbol is loaded.
 puts the value into the combo box if it is valid and is not already in the list</t>
  </si>
  <si>
    <t xml:space="preserve"> user clicked on a list item in the polygon point list</t>
  </si>
  <si>
    <t xml:space="preserve"> puts color names in the two boundary color boxes (polygon and paste)</t>
  </si>
  <si>
    <t xml:space="preserve"> returns color for a boundary from the Biundary Color lists in Line/Polygon
 call with "poly" or "paste"</t>
  </si>
  <si>
    <t xml:space="preserve"> reads the Random color list on the GUI (Letters and frequency) and builds a dictionary to be used to for random colors generation
 also builds the aColorSequence array, which is used to non-randomly update colors based on the data in the Random list.</t>
  </si>
  <si>
    <t xml:space="preserve"> adds a letter/count pair to the color sequence</t>
  </si>
  <si>
    <t xml:space="preserve"> called from myTextBox class
 a Random letter/frequency is updated. Validates the entry and updates the random dictionary as needed
  colors in the text box and updates command button eligibility</t>
  </si>
  <si>
    <t xml:space="preserve"> called by random coloring routine.
 randomly selects a color from the dictionary using frequency data</t>
  </si>
  <si>
    <t xml:space="preserve"> returns the next color's letter in the user defined sequence</t>
  </si>
  <si>
    <t xml:space="preserve"> starts a timer button associated with holding a command button down</t>
  </si>
  <si>
    <t xml:space="preserve"> clears the button timer</t>
  </si>
  <si>
    <t xml:space="preserve"> reports back the time since the timer was started</t>
  </si>
  <si>
    <t xml:space="preserve"> returns true if the command button timer has been running for a period between the enter and exit hold times</t>
  </si>
  <si>
    <t xml:space="preserve"> changes the back color of a command button, to indicate a hold is applied</t>
  </si>
  <si>
    <t xml:space="preserve"> given a color letter, returns the last calculated numbed of times it is used.</t>
  </si>
  <si>
    <t xml:space="preserve"> returns the first letter A-Z, a-z which has a thread count &gt; 0</t>
  </si>
  <si>
    <r>
      <t>1_9a</t>
    </r>
    <r>
      <rPr>
        <sz val="10"/>
        <color rgb="FF000000"/>
        <rFont val="Calibri"/>
        <family val="2"/>
        <scheme val="minor"/>
      </rPr>
      <t xml:space="preserve">  1_9  1_7  1_6  1_5  1_4  1_3  1_2b</t>
    </r>
  </si>
  <si>
    <r>
      <t>01/09/24</t>
    </r>
    <r>
      <rPr>
        <sz val="10"/>
        <color theme="1"/>
        <rFont val="Calibri"/>
        <family val="2"/>
        <scheme val="minor"/>
      </rPr>
      <t xml:space="preserve"> 01/07/24 01/01/24 12/18/23 12/17/23 12/09/23 10/05/23 9/6/2023</t>
    </r>
  </si>
  <si>
    <r>
      <t>1_8</t>
    </r>
    <r>
      <rPr>
        <sz val="10"/>
        <color rgb="FF000000"/>
        <rFont val="Calibri"/>
        <family val="2"/>
        <scheme val="minor"/>
      </rPr>
      <t xml:space="preserve">  1_7  1_6  1_5  1_4  1_3  1_2  1_1  1_0</t>
    </r>
  </si>
  <si>
    <r>
      <t>01/05/24</t>
    </r>
    <r>
      <rPr>
        <sz val="10"/>
        <color theme="1"/>
        <rFont val="Calibri"/>
        <family val="2"/>
        <scheme val="minor"/>
      </rPr>
      <t xml:space="preserve"> 01/03/24 12/29/23 12/28/23 12/24/23 12/23/23 12/18/23 12/17/23 12/13/2023</t>
    </r>
  </si>
  <si>
    <r>
      <t>01/03/24</t>
    </r>
    <r>
      <rPr>
        <sz val="10"/>
        <color theme="1"/>
        <rFont val="Calibri"/>
        <family val="2"/>
        <scheme val="minor"/>
      </rPr>
      <t xml:space="preserve"> 1/3/2024</t>
    </r>
  </si>
  <si>
    <r>
      <t>1_3</t>
    </r>
    <r>
      <rPr>
        <sz val="10"/>
        <color rgb="FF000000"/>
        <rFont val="Calibri"/>
        <family val="2"/>
        <scheme val="minor"/>
      </rPr>
      <t xml:space="preserve">  1_2A  1_2  1_1  1_0</t>
    </r>
  </si>
  <si>
    <r>
      <t>01/04/24</t>
    </r>
    <r>
      <rPr>
        <sz val="10"/>
        <color theme="1"/>
        <rFont val="Calibri"/>
        <family val="2"/>
        <scheme val="minor"/>
      </rPr>
      <t xml:space="preserve"> 12/20/23 12/19/23 12/18/23 12/11/2023</t>
    </r>
  </si>
  <si>
    <t xml:space="preserve"> creates a missing sysparm</t>
  </si>
  <si>
    <t xml:space="preserve"> returns range of cells in side the currently defined polygon.</t>
  </si>
  <si>
    <t>GetBackupPath</t>
  </si>
  <si>
    <t>MakeSureDirectoryExists</t>
  </si>
  <si>
    <t>(sDir As String)</t>
  </si>
  <si>
    <t>CB_RESELECT_AREA_Click</t>
  </si>
  <si>
    <t>CB_RESELECT_AREA2_Click</t>
  </si>
  <si>
    <t>CB_Reselect</t>
  </si>
  <si>
    <t xml:space="preserve"> sets backup path in GUI to the workbook's path with the backup directory appended to it
  records last backup time as NOW</t>
  </si>
  <si>
    <t xml:space="preserve"> user request that the previous selected area be restored as selected</t>
  </si>
  <si>
    <t xml:space="preserve"> if a start and end selection cell is defined, the spanned range is reselected.</t>
  </si>
  <si>
    <t>2_3</t>
  </si>
  <si>
    <t>DumpAddress_2_3.bas</t>
  </si>
  <si>
    <t xml:space="preserve"> common utility to get backup path</t>
  </si>
  <si>
    <t xml:space="preserve"> checks to see if the input directory exists, creates it if it does not.</t>
  </si>
  <si>
    <r>
      <t>2_3</t>
    </r>
    <r>
      <rPr>
        <sz val="10"/>
        <color rgb="FF000000"/>
        <rFont val="Calibri"/>
        <family val="2"/>
        <scheme val="minor"/>
      </rPr>
      <t xml:space="preserve">  2_2A  2_2  2_1  2_0</t>
    </r>
  </si>
  <si>
    <r>
      <t>01/09/24</t>
    </r>
    <r>
      <rPr>
        <sz val="10"/>
        <color theme="1"/>
        <rFont val="Calibri"/>
        <family val="2"/>
        <scheme val="minor"/>
      </rPr>
      <t xml:space="preserve"> 12/06/23 NO_DATE</t>
    </r>
  </si>
  <si>
    <t>COLORBOX_TIMER_1_1.bas</t>
  </si>
  <si>
    <t>CB_FLIP_90_LEFT_Click</t>
  </si>
  <si>
    <t>CB_FLIP_90_RIGHT_Click</t>
  </si>
  <si>
    <t>CB_RESELECT_AREA3_Click</t>
  </si>
  <si>
    <t>(eFlip As FLIP_MODES)</t>
  </si>
  <si>
    <t>ConfigureForLeftSourceColors</t>
  </si>
  <si>
    <t>(cbCommand As Variant)</t>
  </si>
  <si>
    <t xml:space="preserve"> create new pattern rotated 90 degrees left</t>
  </si>
  <si>
    <t xml:space="preserve"> create new pattern rotated 90 degrees rught</t>
  </si>
  <si>
    <r>
      <t>01/10/24</t>
    </r>
    <r>
      <rPr>
        <sz val="10"/>
        <color theme="1"/>
        <rFont val="Calibri"/>
        <family val="2"/>
        <scheme val="minor"/>
      </rPr>
      <t xml:space="preserve"> 12/22/2023</t>
    </r>
  </si>
  <si>
    <t>COLORBOX_SAMPLE_1_2.bas</t>
  </si>
  <si>
    <t>GetCurrentCalculatedColor</t>
  </si>
  <si>
    <t>HandleLabelDblClick</t>
  </si>
  <si>
    <t xml:space="preserve"> triggered when the user clicks on a label. Calls generic colorbox handling for labels</t>
  </si>
  <si>
    <t xml:space="preserve"> triggered when the user double clicks on a color label</t>
  </si>
  <si>
    <t xml:space="preserve"> gets the name of the current color shown in the color mixer (may be blank)</t>
  </si>
  <si>
    <t xml:space="preserve"> handler for swatch double click.
 the first line of the caption contains the color name.</t>
  </si>
  <si>
    <r>
      <t>1_2</t>
    </r>
    <r>
      <rPr>
        <sz val="10"/>
        <color rgb="FF000000"/>
        <rFont val="Calibri"/>
        <family val="2"/>
        <scheme val="minor"/>
      </rPr>
      <t xml:space="preserve">  1_1a  1_1  1_0</t>
    </r>
  </si>
  <si>
    <r>
      <t>01/10/24</t>
    </r>
    <r>
      <rPr>
        <sz val="10"/>
        <color theme="1"/>
        <rFont val="Calibri"/>
        <family val="2"/>
        <scheme val="minor"/>
      </rPr>
      <t xml:space="preserve"> 09/07/23 06/06/23 4/25/2023</t>
    </r>
  </si>
  <si>
    <t>CNC_DeleteExistingColorName</t>
  </si>
  <si>
    <t>CNC_ChangeColorName</t>
  </si>
  <si>
    <t>ExtractColorNameAndRGBColorsFromLabel</t>
  </si>
  <si>
    <t>(sLabelName As String, sCaption As String, soColorName As String, ioRed As Integer, ioGreen As Integer, ioBlue As Integer)</t>
  </si>
  <si>
    <t>GetColorName</t>
  </si>
  <si>
    <t>ColorNameForLetter</t>
  </si>
  <si>
    <t xml:space="preserve"> takes label name and caption and returns the associcated colorname and the rgb integers</t>
  </si>
  <si>
    <t>CBLP_REDRAW_Click</t>
  </si>
  <si>
    <t>(rSelection As Range)</t>
  </si>
  <si>
    <t>AreaEnableButtons</t>
  </si>
  <si>
    <t xml:space="preserve"> user wants polygon redrawn</t>
  </si>
  <si>
    <t xml:space="preserve"> enables/disables the two always see AREA buttons = Zoom Area and Repaint Area</t>
  </si>
  <si>
    <t xml:space="preserve"> does a repaint of the currently selected area or polygon
  If more than one cell selected - draw the retangular excel selection
  if no excel selection present and a polygon is shown, draw it.
  otherwise complain and do nothing.</t>
  </si>
  <si>
    <t>Instance</t>
  </si>
  <si>
    <t>CBS_CLOSE_Click_(1)</t>
  </si>
  <si>
    <t>CBS_RED_SPINNER_SpinDown_(1)</t>
  </si>
  <si>
    <t>CBS_RED_SPINNER_SpinUp_(1)</t>
  </si>
  <si>
    <t>CBS_GREEN_SPINNER_SpinDown_(1)</t>
  </si>
  <si>
    <t>CBS_GREEN_SPINNER_SpinUp_(1)</t>
  </si>
  <si>
    <t>CBS_BLUE_SPINNER_SpinDown_(1)</t>
  </si>
  <si>
    <t>CBS_BLUE_SPINNER_SpinUp_(1)</t>
  </si>
  <si>
    <t>CBS_DARK_SPINNER_SpinDown_(1)</t>
  </si>
  <si>
    <t>CBS_DARK_SPINNER_SpinUp_(1)</t>
  </si>
  <si>
    <t>CBS_STEP_SPINNER_SpinUp_(1)</t>
  </si>
  <si>
    <t>CBS_STEP_SPINNER_SpinDown_(1)</t>
  </si>
  <si>
    <t>CBS_UPDATE_MIXER_Click_(1)</t>
  </si>
  <si>
    <t>PopupSample_(1)</t>
  </si>
  <si>
    <t>CBS_UpdateMixer_(1)</t>
  </si>
  <si>
    <t>UpdateCB_Sample_(1)</t>
  </si>
  <si>
    <t>CBS_DisplayHeader_(1)</t>
  </si>
  <si>
    <t>CNC_Cancel_Click_(1)</t>
  </si>
  <si>
    <t>CNC_CLASS_LIST_Change_(1)</t>
  </si>
  <si>
    <t>CNC_CREATE_NEW_NAME_Click_(1)</t>
  </si>
  <si>
    <t>CNC_DELETE_EXISTING_Click_(1)</t>
  </si>
  <si>
    <t>CNC_RENAME_OLDNAME_Click_(1)</t>
  </si>
  <si>
    <t>CNC_UPDATE_EXISTING_Click_(1)</t>
  </si>
  <si>
    <t>CNC_NEWNAME_Change_(1)</t>
  </si>
  <si>
    <t>CNC_OpenNewColorForm_(1)</t>
  </si>
  <si>
    <t>UniqueItemsInRange_(1)</t>
  </si>
  <si>
    <t>CNC_EnableButtons_(1)</t>
  </si>
  <si>
    <t>IsNameInInventory_(1)</t>
  </si>
  <si>
    <t>SetNamesClass_(1)</t>
  </si>
  <si>
    <t>CNC_NewNameEdit_(1)</t>
  </si>
  <si>
    <t>CNC_StoreNewColor_(1)</t>
  </si>
  <si>
    <t>CNC_DeleteExistingColorName_(1)</t>
  </si>
  <si>
    <t>CNC_ChangeColorName_(1)</t>
  </si>
  <si>
    <t>UpdateNameInSwatches_(1)</t>
  </si>
  <si>
    <t>CNC_UpdateExistingColorForName_(1)</t>
  </si>
  <si>
    <t>CreateNormalName_(1)</t>
  </si>
  <si>
    <t>CBH_CLOSE_Click_(1)</t>
  </si>
  <si>
    <t>SetupColorboxHistory_(1)</t>
  </si>
  <si>
    <t>PopulateColorboxHistory_(1)</t>
  </si>
  <si>
    <t>UpdateColorHistory_(1)</t>
  </si>
  <si>
    <t>driver_(1)</t>
  </si>
  <si>
    <t>AskGeneralQuestion_(1)</t>
  </si>
  <si>
    <t>Saturation_(1)</t>
  </si>
  <si>
    <t>Luminosity_(1)</t>
  </si>
  <si>
    <t>nMinOf_(1)</t>
  </si>
  <si>
    <t>nMaxOf_(1)</t>
  </si>
  <si>
    <t>iMaxOf_(1)</t>
  </si>
  <si>
    <t>CB_VALIDATE_HELPPATH_(1)</t>
  </si>
  <si>
    <t>InitializeHelpPath_(1)</t>
  </si>
  <si>
    <t>OpenHelp_(1)</t>
  </si>
  <si>
    <t>ExtractDirectory_(1)</t>
  </si>
  <si>
    <t>RGBAngle_(1)</t>
  </si>
  <si>
    <t>Angle3d_(1)</t>
  </si>
  <si>
    <t>Magnitude_(1)</t>
  </si>
  <si>
    <t>DumpAddress_(1)</t>
  </si>
  <si>
    <t>GetBackupPath_(1)</t>
  </si>
  <si>
    <t>RestoreFromFile_(1)</t>
  </si>
  <si>
    <t>GetRestoreFilename_(1)</t>
  </si>
  <si>
    <t>CountCharInString_(1)</t>
  </si>
  <si>
    <t>NewestBackupNumber_(1)</t>
  </si>
  <si>
    <t>RemoveFileExtension_(1)</t>
  </si>
  <si>
    <t>InitializeBackup_(1)</t>
  </si>
  <si>
    <t>MakeSureDirectoryExists_(1)</t>
  </si>
  <si>
    <t>SaveBackupIfTime_(1)</t>
  </si>
  <si>
    <t>DoBackup_(1)</t>
  </si>
  <si>
    <t>ReturnLineRangeUnion_(1)</t>
  </si>
  <si>
    <t>DistanceFromPointToLineSegment_(1)</t>
  </si>
  <si>
    <t>ProcessMultiPageSelection_(1)</t>
  </si>
  <si>
    <t>GotoMultipageTab_(1)</t>
  </si>
  <si>
    <t>ReportAlphaBetUsage_(1)</t>
  </si>
  <si>
    <t>BagCount_(1)</t>
  </si>
  <si>
    <t>InitializeThreadPercentageWasteList_(1)</t>
  </si>
  <si>
    <t>drivecd_(1)</t>
  </si>
  <si>
    <t>TESTDrawCircle_(1)</t>
  </si>
  <si>
    <t>CBDC_FlashCircleAction_(1)</t>
  </si>
  <si>
    <t>CBDC_AssignCircleColorAction_(1)</t>
  </si>
  <si>
    <t>CreateCircleUnion_(1)</t>
  </si>
  <si>
    <t>AddToUnion_(1)</t>
  </si>
  <si>
    <t>SetCBDC_ColALpha_(1)</t>
  </si>
  <si>
    <t>CBDC_FlashCenterpoint_(1)</t>
  </si>
  <si>
    <t>CreateCenterPointUnion_(1)</t>
  </si>
  <si>
    <t>CBDC_EnableButtons_(1)</t>
  </si>
  <si>
    <t>IsAlpha_(1)</t>
  </si>
  <si>
    <t>AssignRangeUnion_(1)</t>
  </si>
  <si>
    <t>SetCenterPointToSelectedCell_(1)</t>
  </si>
  <si>
    <t>OptionButton1_Click_(1)</t>
  </si>
  <si>
    <t>OptionButton2_Click_(1)</t>
  </si>
  <si>
    <t>CB_ALL_REASSIGN_Click_(1)</t>
  </si>
  <si>
    <t>CB_ALPHABET_USAGE_AREA_Click_(1)</t>
  </si>
  <si>
    <t>CB_ALPHABET_USAGE_COMMAND_Click_(1)</t>
  </si>
  <si>
    <t>CB_ALTERNATE_DISTANCE_LIST_change_(1)</t>
  </si>
  <si>
    <t>CB_APPLY_CELL_SIZE_Click_(1)</t>
  </si>
  <si>
    <t>CB_AREA_REASSIGN_Click_(1)</t>
  </si>
  <si>
    <t>CB_ASSIGN_DARK_Click_(1)</t>
  </si>
  <si>
    <t>CB_ASSIGN_LIGHT_Click_(1)</t>
  </si>
  <si>
    <t>CB_AUTO_SELECT_Change_(1)</t>
  </si>
  <si>
    <t>CB_CLEAN_PATTERNS_Click_(1)</t>
  </si>
  <si>
    <t>CB_CLEAR_AREA_Click_(1)</t>
  </si>
  <si>
    <t>CB_CLEAR_HISTORY_Click_(1)</t>
  </si>
  <si>
    <t>CB_COLOR_DISTANCE_SPINNER1_SpinDown_(1)</t>
  </si>
  <si>
    <t>CB_COLOR_DISTANCE_SPINNER1_SpinUp_(1)</t>
  </si>
  <si>
    <t>CB_COLOR_DISTANCE_SPINNER2_SpinDown_(1)</t>
  </si>
  <si>
    <t>CB_COLOR_DISTANCE_SPINNER2_SpinUp_(1)</t>
  </si>
  <si>
    <t>CB_COLOR_SELECTION_Click_(1)</t>
  </si>
  <si>
    <t>CB_CONFIGURE_SHEET_Click_(1)</t>
  </si>
  <si>
    <t>CB_DISABLE_Click_(1)</t>
  </si>
  <si>
    <t>CB_DISABLE_CONFIRM_Click_(1)</t>
  </si>
  <si>
    <t>CB_END_SELECTION_Click_(1)</t>
  </si>
  <si>
    <t>CB_FADE_ALL_Click_(1)</t>
  </si>
  <si>
    <t>CB_FADE_SELECTION_Click_(1)</t>
  </si>
  <si>
    <t>CB_FIND_FLASH_AREA_MouseDown_(1)</t>
  </si>
  <si>
    <t>CB_FIND_FLASH_AREA_MouseUp_(1)</t>
  </si>
  <si>
    <t>CB_FLASH_CHANGE_MouseDown_(1)</t>
  </si>
  <si>
    <t>CB_FLASH_CHANGE_MouseUp_(1)</t>
  </si>
  <si>
    <t>CB_FLASH_INVALID_MouseDown_(1)</t>
  </si>
  <si>
    <t>CB_FLASH_INVALID_MouseUp_(1)</t>
  </si>
  <si>
    <t>CB_FLIP_90_LEFT_Click_(1)</t>
  </si>
  <si>
    <t>CB_FLIP_90_RIGHT_Click_(1)</t>
  </si>
  <si>
    <t>CB_PIVOT_DOWN_Click_(1)</t>
  </si>
  <si>
    <t>CB_REMOVE_INVALID_MARKING_Click_(1)</t>
  </si>
  <si>
    <t>CB_FIND_FLASH_MouseDown_(1)</t>
  </si>
  <si>
    <t>CB_FIND_FLASH_MouseUp_(1)</t>
  </si>
  <si>
    <t>CB_FIND_FLASH_OTHERS_MouseDown_(1)</t>
  </si>
  <si>
    <t>CB_FIND_FLASH_OTHERS_MouseUp_(1)</t>
  </si>
  <si>
    <t>CB_FIND_LOAD_Click_(1)</t>
  </si>
  <si>
    <t>CB_FIND_REPAINT_Click_(1)</t>
  </si>
  <si>
    <t>CB_FIND_ZOOM_MINUS_Click_(1)</t>
  </si>
  <si>
    <t>CB_FIND_ZOOM_PLUS_Click_(1)</t>
  </si>
  <si>
    <t>CB_FIND_ZOOM_SELECTION_Click_(1)</t>
  </si>
  <si>
    <t>CB_HELPPATH_DblClick_(1)</t>
  </si>
  <si>
    <t>CB_HIDE_UNUSED_SWATCHES_Click_(1)</t>
  </si>
  <si>
    <t>CB_LEFTSOURCE_YARN_Click_(1)</t>
  </si>
  <si>
    <t>CB_LIMIT_NAMES_Click_(1)</t>
  </si>
  <si>
    <t>CB_NEXT_INVALID_Click_(1)</t>
  </si>
  <si>
    <t>CB_PREFIX_Change_(1)</t>
  </si>
  <si>
    <t>CB_PRINT_Click_(1)</t>
  </si>
  <si>
    <t>CB_QZ_25_Click_(1)</t>
  </si>
  <si>
    <t>CB_REPAINT_CHAR_Click_(1)</t>
  </si>
  <si>
    <t>CB_REPAINT_DISPLAY_Click_(1)</t>
  </si>
  <si>
    <t>CB_RESELECT_AREA_Click_(1)</t>
  </si>
  <si>
    <t>CB_RESELECT_AREA2_Click_(1)</t>
  </si>
  <si>
    <t>CB_RESELECT_AREA3_Click_(1)</t>
  </si>
  <si>
    <t>CB_RESTORE_FROM_BACKUP_Click_(1)</t>
  </si>
  <si>
    <t>CB_SCROLL_DOWN_LEFT_Click_(1)</t>
  </si>
  <si>
    <t>CB_SCROLL_DOWN_RIGHT_Click_(1)</t>
  </si>
  <si>
    <t>CB_SCROLL_UP_LEFT_Click_(1)</t>
  </si>
  <si>
    <t>CB_SCROLL_UP_RIGHT_Click_(1)</t>
  </si>
  <si>
    <t>CB_SHOW_10x10_change_(1)</t>
  </si>
  <si>
    <t>CB_SHOW_BORDERS_Change_(1)</t>
  </si>
  <si>
    <t>CB_SHOW_COLORS_Change_(1)</t>
  </si>
  <si>
    <t>CB_SHOW_NAMES_IN_SWATCH_Click_(1)</t>
  </si>
  <si>
    <t>CB_ShowLetters_Change_(1)</t>
  </si>
  <si>
    <t>CB_START_SELECTION_Click_(1)</t>
  </si>
  <si>
    <t>CB_SWAP_Click_(1)</t>
  </si>
  <si>
    <t>CB_UNDO_Click_(1)</t>
  </si>
  <si>
    <t>CB_UNDO_DEPTH_AfterUpdate_(1)</t>
  </si>
  <si>
    <t>CB_UPDATE_COUNTS2_Click_(1)</t>
  </si>
  <si>
    <t>CB_ZOOM_SELECTION_Click_(1)</t>
  </si>
  <si>
    <t>CBLP_ADD_POINT_Click_(1)</t>
  </si>
  <si>
    <t>CBLP_COPY_Click_(1)</t>
  </si>
  <si>
    <t>CBLP_CUT_CANCEL_Click_(1)</t>
  </si>
  <si>
    <t>CBLP_CUT_Click_(1)</t>
  </si>
  <si>
    <t>CBLP_DOWN_LEFT_Click_(1)</t>
  </si>
  <si>
    <t>CBLP_DOWN_RIGHT_Click_(1)</t>
  </si>
  <si>
    <t>CBLP_ENABLE_PT_SELECTION_Click_(1)</t>
  </si>
  <si>
    <t>CBLP_PASTE_CMD_Click_(1)</t>
  </si>
  <si>
    <t>CBLP_REDRAW_Click_(1)</t>
  </si>
  <si>
    <t>CBLP_SET_PASTE_POINT_Click_(1)</t>
  </si>
  <si>
    <t>CBLP_UP_LEFT_Click_(1)</t>
  </si>
  <si>
    <t>CBLP_UP_RIGHT_Click_(1)</t>
  </si>
  <si>
    <t>CBP_MIN_LEFTOVER_Change_(1)</t>
  </si>
  <si>
    <t>CBP_THREAD_WASTE_PERCENTAGE_Click_(1)</t>
  </si>
  <si>
    <t>CBP_THREADS_PER_BAG_Change_(1)</t>
  </si>
  <si>
    <t>CBSC_ASSIGN_COLOR_Click_(1)</t>
  </si>
  <si>
    <t>CB_BACKUP_NOW_Click_(1)</t>
  </si>
  <si>
    <t>CB_CELL_SIZE_Change_(1)</t>
  </si>
  <si>
    <t>CBSC_COLOR_FILTER_Change_(1)</t>
  </si>
  <si>
    <t>CB_COLOR_MIXER_DblClick_(1)</t>
  </si>
  <si>
    <t>CB_CURRENT_ZOOM_DblClick_(1)</t>
  </si>
  <si>
    <t>CB_DEPTH_Change_(1)</t>
  </si>
  <si>
    <t>CB_DRAW10BY10_Click_(1)</t>
  </si>
  <si>
    <t>CB_EXIT_Click_(1)</t>
  </si>
  <si>
    <t>CBSC_FAMILY_FILTER_Change_(1)</t>
  </si>
  <si>
    <t>CB_FIND_NEXT_Click_(1)</t>
  </si>
  <si>
    <t>CB_FIND_TARGET_Change_(1)</t>
  </si>
  <si>
    <t>CB_FLIP_IT_Click_(1)</t>
  </si>
  <si>
    <t>CB_FROM_SYMBOL_Change_(1)</t>
  </si>
  <si>
    <t>CB_JUST_COLORS_Click_(1)</t>
  </si>
  <si>
    <t>CB_MATRIX_SPINNER_SpinUp_(1)</t>
  </si>
  <si>
    <t>CB_MATRIX_SPINNER_SpinDown_(1)</t>
  </si>
  <si>
    <t>CB_MIRROR_DOWN_Click_(1)</t>
  </si>
  <si>
    <t>CB_MIRROR_RIGHT_Click_(1)</t>
  </si>
  <si>
    <t>CB_PIVOT_RIGHT_Click_(1)</t>
  </si>
  <si>
    <t>CB_MIXER_LT_SPINNER_SpinUp_(1)</t>
  </si>
  <si>
    <t>CB_MIXER_LT_SPINNER_SpinDown_(1)</t>
  </si>
  <si>
    <t>CB_MIXER_RED_SPIN_SpinUp_(1)</t>
  </si>
  <si>
    <t>CB_MIXER_RED_SPIN_SpinDown_(1)</t>
  </si>
  <si>
    <t>CB_MIXER_GREEN_SPIN_SpinUp_(1)</t>
  </si>
  <si>
    <t>CB_MIXER_GREEN_SPIN_SpinDown_(1)</t>
  </si>
  <si>
    <t>CB_MIXER_BLUE_SPIN_SpinUp_(1)</t>
  </si>
  <si>
    <t>CB_MIXER_BLUE_SPIN_SpinDown_(1)</t>
  </si>
  <si>
    <t>CB_MIXER_RED_VALUE_Change_(1)</t>
  </si>
  <si>
    <t>CB_MIXER_GREEN_VALUE_Change_(1)</t>
  </si>
  <si>
    <t>CB_MIXER_BLUE_VALUE_Change_(1)</t>
  </si>
  <si>
    <t>CB_MIXER_RED_VALUE_AfterUpdate_(1)</t>
  </si>
  <si>
    <t>CB_MIXER_GREEN_VALUE_AfterUpdate_(1)</t>
  </si>
  <si>
    <t>CB_MIXER_BLUE_VALUE_AfterUpdate_(1)</t>
  </si>
  <si>
    <t>CB_MIXER_SAVE_NEW_Click_(1)</t>
  </si>
  <si>
    <t>CB_MIXER_STEP_SPINNER_SpinDown_(1)</t>
  </si>
  <si>
    <t>CB_MIXER_STEP_SPINNER_SpinUp_(1)</t>
  </si>
  <si>
    <t>CB_MOVESWATCH_SP_SpinDown_(1)</t>
  </si>
  <si>
    <t>CB_MOVESWATCH_SP_SpinUp_(1)</t>
  </si>
  <si>
    <t>CB_NEW_WORK_SHEET_Click_(1)</t>
  </si>
  <si>
    <t>CB_OPEN_HELP_Click_(1)</t>
  </si>
  <si>
    <t>CB_Open_New_Window_Click_(1)</t>
  </si>
  <si>
    <t>CB_OPEN_NEXT_WINDOW_Click_(1)</t>
  </si>
  <si>
    <t>CB_RefreshCount_Click_(1)</t>
  </si>
  <si>
    <t>CB_REPAINT_Click_(1)</t>
  </si>
  <si>
    <t>CB_REPAINT_SELECTION_Click_(1)</t>
  </si>
  <si>
    <t>CB_RESET_Click_(1)</t>
  </si>
  <si>
    <t>CB_RGB_CALCULATED_Click_(1)</t>
  </si>
  <si>
    <t>CB_SAVE_Click_(1)</t>
  </si>
  <si>
    <t>CB_SCROLL_UP_Click_(1)</t>
  </si>
  <si>
    <t>CB_SCROLL_DOWN_Click_(1)</t>
  </si>
  <si>
    <t>CB_SCROLL_LEFT_Click_(1)</t>
  </si>
  <si>
    <t>CB_SCROLL_RIGHT_Click_(1)</t>
  </si>
  <si>
    <t>CB_SHOW_HISTORY_Click_(1)</t>
  </si>
  <si>
    <t>CBSC_FLASH_COLOR_MouseDown_(1)</t>
  </si>
  <si>
    <t>CBSC_FLASH_COLOR_MouseUp_(1)</t>
  </si>
  <si>
    <t>CBSC_TEST_COLOR_MouseDown_(1)</t>
  </si>
  <si>
    <t>CBSC_TEST_COLOR_MouseUp_(1)</t>
  </si>
  <si>
    <t>CB_TO_SYMBOL_Change_(1)</t>
  </si>
  <si>
    <t>CB_ToolBox_Click_(1)</t>
  </si>
  <si>
    <t>CB_WIDTH_Change_(1)</t>
  </si>
  <si>
    <t>CB_ZOOM_BOX_DblClick_(1)</t>
  </si>
  <si>
    <t>CBLP_ASSIGN_Click_(1)</t>
  </si>
  <si>
    <t>CBLP_FLASH_AREA_MouseDown_(1)</t>
  </si>
  <si>
    <t>CBLP_FLASH_AREA_MouseUp_(1)</t>
  </si>
  <si>
    <t>CBLP_LINE_OPTION_Click_(1)</t>
  </si>
  <si>
    <t>CBLP_POLYGON_OPTION_Click_(1)</t>
  </si>
  <si>
    <t>CBLP_SELECTED_AREA_Click_(1)</t>
  </si>
  <si>
    <t>CBLP_REMOVE_MARKERS_Click_(1)</t>
  </si>
  <si>
    <t>CBLP_SYMBOL_Change_(1)</t>
  </si>
  <si>
    <t>CBDC_ASSIGN_CIRCLE_Click_(1)</t>
  </si>
  <si>
    <t>CBDC_CIRCLE_SYMBOL_Change_(1)</t>
  </si>
  <si>
    <t>CBDC_COL_INTEGER_AfterUpdate_(1)</t>
  </si>
  <si>
    <t>CBDC_FLASH_CENTER_MouseDown_(1)</t>
  </si>
  <si>
    <t>CBDC_FLASH_CENTER_MouseUp_(1)</t>
  </si>
  <si>
    <t>CBDC_FLASH_CIRCLE_MouseDown_(1)</t>
  </si>
  <si>
    <t>CBDC_FLASH_CIRCLE_Mouseup_(1)</t>
  </si>
  <si>
    <t>CBDC_INITIALIZE_CENTER_POINT_Click_(1)</t>
  </si>
  <si>
    <t>CBDC_RADIUS_Change_(1)</t>
  </si>
  <si>
    <t>CBDC_ROW_Change_(1)</t>
  </si>
  <si>
    <t>CBSC_CLEAR_FILTERS_Click_(1)</t>
  </si>
  <si>
    <t>CNC_DOUBLE_CLICK_PROMPT_Click_(1)</t>
  </si>
  <si>
    <t>COLORLIST_Click_(1)</t>
  </si>
  <si>
    <t>CB_MOVESWATCH2_SP_SpinDown_(1)</t>
  </si>
  <si>
    <t>CB_MOVESWATCH2_SP_SpinUp_(1)</t>
  </si>
  <si>
    <t>CBDA_SHOW_BOUNDARY_Click_(1)</t>
  </si>
  <si>
    <t>CBLP_ADD_POINT_AFTER_Click_(1)</t>
  </si>
  <si>
    <t>CBLP_DELETE_POINT_Click_(1)</t>
  </si>
  <si>
    <t>CBLP_POINT_LIST_Click_(1)</t>
  </si>
  <si>
    <t>CBLP_RESTART_Click_(1)</t>
  </si>
  <si>
    <t>CBLP_LEFT_Click_(1)</t>
  </si>
  <si>
    <t>CBLP_RIGHT_Click_(1)</t>
  </si>
  <si>
    <t>CBLP_UP_Click_(1)</t>
  </si>
  <si>
    <t>CBLP_DOWN_Click_(1)</t>
  </si>
  <si>
    <t>CPDA_SHOW_BOUNDARY_Click_(1)</t>
  </si>
  <si>
    <t>CB_Reselect_(1)</t>
  </si>
  <si>
    <t>CB_StartSelection_(1)</t>
  </si>
  <si>
    <t>CB_EndSelection_(1)</t>
  </si>
  <si>
    <t>Selection_EnableButtons_(1)</t>
  </si>
  <si>
    <t>FlipIt_(1)</t>
  </si>
  <si>
    <t>CreateNewPattern_(1)</t>
  </si>
  <si>
    <t>MirrorSelectionRight_(1)</t>
  </si>
  <si>
    <t>MirrorSelectionDown_(1)</t>
  </si>
  <si>
    <t>GetCurrentCalculatedColor_(1)</t>
  </si>
  <si>
    <t>SetupSwatches_(1)</t>
  </si>
  <si>
    <t>SelectedSwatchLetter_(1)</t>
  </si>
  <si>
    <t>InitializeAlternateColorDistance_(1)</t>
  </si>
  <si>
    <t>GetColorDistanceMethod_(1)</t>
  </si>
  <si>
    <t>DisplayColorDistanceMethod_(1)</t>
  </si>
  <si>
    <t>ChangeColorDistanceMethod_(1)</t>
  </si>
  <si>
    <t>InititalizeSwatchAndChar_(1)</t>
  </si>
  <si>
    <t>PopulateSwatches_(1)</t>
  </si>
  <si>
    <t>MoveSwatchEnable_(1)</t>
  </si>
  <si>
    <t>CB_MoveSwatch_(1)</t>
  </si>
  <si>
    <t>GetCase_(1)</t>
  </si>
  <si>
    <t>UpdateClosestDefinedColors_(1)</t>
  </si>
  <si>
    <t>UpdateClosestLabel_(1)</t>
  </si>
  <si>
    <t>SetupMixerArray_(1)</t>
  </si>
  <si>
    <t>PopulateMixerArray_(1)</t>
  </si>
  <si>
    <t>SetupInventoryArray_(1)</t>
  </si>
  <si>
    <t>PopulateInventory_(1)</t>
  </si>
  <si>
    <t>CB_MIXER_CHANGE_COLOR_(1)</t>
  </si>
  <si>
    <t>ExtractColorNameAndRGBColorsFromLabel_(1)</t>
  </si>
  <si>
    <t>HandleColorLabelSelection_(1)</t>
  </si>
  <si>
    <t>HandleLabelDblClick_(1)</t>
  </si>
  <si>
    <t>SetUpClosestColorArrays_(1)</t>
  </si>
  <si>
    <t>SetupColorLabel_(1)</t>
  </si>
  <si>
    <t>CB_UpdateLegendSheet_(1)</t>
  </si>
  <si>
    <t>CB_ValidatePrefix_(1)</t>
  </si>
  <si>
    <t>NameMeetsPrefixFilter_(1)</t>
  </si>
  <si>
    <t>StringTimeToMillisecond_(1)</t>
  </si>
  <si>
    <t>EpochTimeInSeconds_(1)</t>
  </si>
  <si>
    <t>GS_Cancel_Click_(1)</t>
  </si>
  <si>
    <t>GS_Listbox_Click_(1)</t>
  </si>
  <si>
    <t>GS_Listbox_DblClick_(1)</t>
  </si>
  <si>
    <t>GS_UseSelected_Click_(1)</t>
  </si>
  <si>
    <t>SelectFromCollection_(1)</t>
  </si>
  <si>
    <t>CB_AutoSelect_(1)</t>
  </si>
  <si>
    <t>CB_HandleCellUpdate_(1)</t>
  </si>
  <si>
    <t>CB_ColorCell_(1)</t>
  </si>
  <si>
    <t>CB_ShowCellValue_(1)</t>
  </si>
  <si>
    <t>HandleCellSelection_(1)</t>
  </si>
  <si>
    <t>AreaEnableButtons_(1)</t>
  </si>
  <si>
    <t>UpdateCurrentLetter_(1)</t>
  </si>
  <si>
    <t>ChangeSelectedLetter_(1)</t>
  </si>
  <si>
    <t>HandleOptionSelection_(1)</t>
  </si>
  <si>
    <t>HandleOptionDblClick_(1)</t>
  </si>
  <si>
    <t>OBEHandleSelectedColorUpdate_(1)</t>
  </si>
  <si>
    <t>CBSC_EnableButtons_(1)</t>
  </si>
  <si>
    <t>CB_FIND_EnableButtons_(1)</t>
  </si>
  <si>
    <t>CB_10x10_EnableButtons_(1)</t>
  </si>
  <si>
    <t>CB_CELL_SIZE_EnableButtons_(1)</t>
  </si>
  <si>
    <t>HandleColorListSelection_(1)</t>
  </si>
  <si>
    <t>CB_MakeColorAssignment_(1)</t>
  </si>
  <si>
    <t>CB_DoRepaint_(1)</t>
  </si>
  <si>
    <t>CB_RepaintColor_(1)</t>
  </si>
  <si>
    <t>CB_DoRepaintSelection_(1)</t>
  </si>
  <si>
    <t>CB_RepaintDisplay_(1)</t>
  </si>
  <si>
    <t>CB_InitializeGridSize_(1)</t>
  </si>
  <si>
    <t>CB_UpdateGridSize_(1)</t>
  </si>
  <si>
    <t>CB_Draw10x10_(1)</t>
  </si>
  <si>
    <t>CB_ReportCellSize_(1)</t>
  </si>
  <si>
    <t>CB_ApplyCellSize_(1)</t>
  </si>
  <si>
    <t>SetDefaultCellSize_(1)</t>
  </si>
  <si>
    <t>CB_SCROLL_(1)</t>
  </si>
  <si>
    <t>CB_ShowJustColors_(1)</t>
  </si>
  <si>
    <t>CB_ClearSelection_(1)</t>
  </si>
  <si>
    <t>CB_AdjustColor_(1)</t>
  </si>
  <si>
    <t>CB_AdjustSpinner_(1)</t>
  </si>
  <si>
    <t>SETUP_SCROLL_BUTTONS_(1)</t>
  </si>
  <si>
    <t>ConfigureForLeftSourceColors_(1)</t>
  </si>
  <si>
    <t>ReformatLeftSourceYarnName_(1)</t>
  </si>
  <si>
    <t>TranslateLeftSourceHexClosestColor_(1)</t>
  </si>
  <si>
    <t>GetSysParmIndex_(1)</t>
  </si>
  <si>
    <t>GetSysParmRange_(1)</t>
  </si>
  <si>
    <t>SetSysParmValue_(1)</t>
  </si>
  <si>
    <t>CreateSysParm_(1)</t>
  </si>
  <si>
    <t>ReadSysParms_(1)</t>
  </si>
  <si>
    <t>ClearColorboxSuspended_(1)</t>
  </si>
  <si>
    <t>CB_ToggleSuspendColorbox_(1)</t>
  </si>
  <si>
    <t>SetColorboxSuspended_(1)</t>
  </si>
  <si>
    <t>isColorboxSuspended_(1)</t>
  </si>
  <si>
    <t>ForceResetAllOverrides_(1)</t>
  </si>
  <si>
    <t>OverrideHolder_(1)</t>
  </si>
  <si>
    <t>FormatOverrides_(1)</t>
  </si>
  <si>
    <t>DumpOverrideStates_(1)</t>
  </si>
  <si>
    <t>SetOverride_(1)</t>
  </si>
  <si>
    <t>ForceClearOverride_(1)</t>
  </si>
  <si>
    <t>ClearOverride_(1)</t>
  </si>
  <si>
    <t>IsOverrideSet_(1)</t>
  </si>
  <si>
    <t>FlashInvalid_(1)</t>
  </si>
  <si>
    <t>FlashSelectedColor_(1)</t>
  </si>
  <si>
    <t>FlashAllFindTarget_(1)</t>
  </si>
  <si>
    <t>FlashAreaFindTarget_(1)</t>
  </si>
  <si>
    <t>FlashOtherFindTarget_(1)</t>
  </si>
  <si>
    <t>DisplayColorAsTest_(1)</t>
  </si>
  <si>
    <t>DisplayColorChangeAsTest_(1)</t>
  </si>
  <si>
    <t>CB_FindUsage_(1)</t>
  </si>
  <si>
    <t>CountInstancesInRange_(1)</t>
  </si>
  <si>
    <t>CB_FindNext_(1)</t>
  </si>
  <si>
    <t>FindNextError_(1)</t>
  </si>
  <si>
    <t>NextCellsInRange_(1)</t>
  </si>
  <si>
    <t>ToFromEnableButtons_(1)</t>
  </si>
  <si>
    <t>CB_SwapLetters_(1)</t>
  </si>
  <si>
    <t>CB_ColorSelectedArea_(1)</t>
  </si>
  <si>
    <t>ReassignArea_(1)</t>
  </si>
  <si>
    <t>FaderTest_(1)</t>
  </si>
  <si>
    <t>MakeTestStrip_(1)</t>
  </si>
  <si>
    <t>BrighterTest_(1)</t>
  </si>
  <si>
    <t>CB_InitializeFaderLevel_(1)</t>
  </si>
  <si>
    <t>FadeUnder_(1)</t>
  </si>
  <si>
    <t>Brite2Under_(1)</t>
  </si>
  <si>
    <t>DarkUnder_(1)</t>
  </si>
  <si>
    <t>CB_FadeAll_(1)</t>
  </si>
  <si>
    <t>CB_FadeSelected_(1)</t>
  </si>
  <si>
    <t>Fade_(1)</t>
  </si>
  <si>
    <t>PopulateZoomLevels_(1)</t>
  </si>
  <si>
    <t>CB_ZOOM_(1)</t>
  </si>
  <si>
    <t>CB_Quick_ZOOM_(1)</t>
  </si>
  <si>
    <t>CB_ZOOM_DELTA_(1)</t>
  </si>
  <si>
    <t>CB_ZOOM_ON_SELECTED_(1)</t>
  </si>
  <si>
    <t>UpdateDisplayedZoom_(1)</t>
  </si>
  <si>
    <t>UnDoCounts_(1)</t>
  </si>
  <si>
    <t>CB_Initialize_Undo_(1)</t>
  </si>
  <si>
    <t>ValidateDoUndo_(1)</t>
  </si>
  <si>
    <t>UndoStackMaxDepth_(1)</t>
  </si>
  <si>
    <t>CB_Update_Undo_Depth_(1)</t>
  </si>
  <si>
    <t>RecordRangeState_(1)</t>
  </si>
  <si>
    <t>FindCellState_(1)</t>
  </si>
  <si>
    <t>CellStateSize_(1)</t>
  </si>
  <si>
    <t>DumpCellState_(1)</t>
  </si>
  <si>
    <t>LogChange_(1)</t>
  </si>
  <si>
    <t>NeedNewStackEntry_(1)</t>
  </si>
  <si>
    <t>DumpUndoQueue_(1)</t>
  </si>
  <si>
    <t>CB_UNDOIT_(1)</t>
  </si>
  <si>
    <t>SheetFromSheetAddr_(1)</t>
  </si>
  <si>
    <t>RangeFromSheetAddr_(1)</t>
  </si>
  <si>
    <t>ColorAsGradient_(1)</t>
  </si>
  <si>
    <t>CSVFromColorName_(1)</t>
  </si>
  <si>
    <t>GetColorName_(1)</t>
  </si>
  <si>
    <t>ColorUsedByLetters_(1)</t>
  </si>
  <si>
    <t>ColorForChar_(1)</t>
  </si>
  <si>
    <t>ReturnRGBElementsFromCSV_(1)</t>
  </si>
  <si>
    <t>ColorLimit_(1)</t>
  </si>
  <si>
    <t>CSV_StringFromColor_(1)</t>
  </si>
  <si>
    <t>RGBHexFromMSoftLongColor_(1)</t>
  </si>
  <si>
    <t>MSoftColorValueFromCSV_(1)</t>
  </si>
  <si>
    <t>ClosestRGBNameColor_(1)</t>
  </si>
  <si>
    <t>ConvertTo2DigitHex_(1)</t>
  </si>
  <si>
    <t>CSV_StringFromColorValues_(1)</t>
  </si>
  <si>
    <t>ColorNameForLetter_(1)</t>
  </si>
  <si>
    <t>ColorFromRGBValues_(1)</t>
  </si>
  <si>
    <t>ColorValueForRGBName_(1)</t>
  </si>
  <si>
    <t>ContrastingColorForText_(1)</t>
  </si>
  <si>
    <t>BW_TextColorForColor_(1)</t>
  </si>
  <si>
    <t>CB_AssignLightContrastingTextColor_(1)</t>
  </si>
  <si>
    <t>CB_AssignDarkContrastingTextColor_(1)</t>
  </si>
  <si>
    <t>DistanceBetweenRGBValues_(1)</t>
  </si>
  <si>
    <t>DistanceFromColorBlack_(1)</t>
  </si>
  <si>
    <t>ExtractRGBValuesFromColor_(1)</t>
  </si>
  <si>
    <t>ColorTextBox_(1)</t>
  </si>
  <si>
    <t>ColorComboBox_(1)</t>
  </si>
  <si>
    <t>ColorInvalid2DigitNumericTextbox_(1)</t>
  </si>
  <si>
    <t>AllowValidColorValues_(1)</t>
  </si>
  <si>
    <t>CB_LOG_(1)</t>
  </si>
  <si>
    <t>ClearLog_(1)</t>
  </si>
  <si>
    <t>StartLog_(1)</t>
  </si>
  <si>
    <t>Format_eMode_(1)</t>
  </si>
  <si>
    <t>DumpStringAsAscii_(1)</t>
  </si>
  <si>
    <t>ColumnLetterToNumber_(1)</t>
  </si>
  <si>
    <t>ColumnNumberToLetter_(1)</t>
  </si>
  <si>
    <t>CB_UsedRange_(1)</t>
  </si>
  <si>
    <t>LastUsedCellInColumn_(1)</t>
  </si>
  <si>
    <t>LastUsedCellInRow_(1)</t>
  </si>
  <si>
    <t>CountInstancesIn_(1)</t>
  </si>
  <si>
    <t>ForceConfirm_(1)</t>
  </si>
  <si>
    <t>Confirm_(1)</t>
  </si>
  <si>
    <t>Apply10x10Border_(1)</t>
  </si>
  <si>
    <t>CB_GotoNextWindow_(1)</t>
  </si>
  <si>
    <t>DumpUsedRanges_(1)</t>
  </si>
  <si>
    <t>ClearBeyondPatternEdges_(1)</t>
  </si>
  <si>
    <t>RemoveBorders_(1)</t>
  </si>
  <si>
    <t>DisplayedCells_(1)</t>
  </si>
  <si>
    <t>CenterSelectedCell_(1)</t>
  </si>
  <si>
    <t>IsValidSymbol_(1)</t>
  </si>
  <si>
    <t>TruncateStringBeforeCRLF_(1)</t>
  </si>
  <si>
    <t>IntegerFromString_(1)</t>
  </si>
  <si>
    <t>IsCellSelected_(1)</t>
  </si>
  <si>
    <t>ProvideAddInStatus_(1)</t>
  </si>
  <si>
    <t>ConfigureSheetForColorbox_(1)</t>
  </si>
  <si>
    <t>SetupPatternCode_(1)</t>
  </si>
  <si>
    <t>GetPastePointRow_(1)</t>
  </si>
  <si>
    <t>GetPastePointCol_(1)</t>
  </si>
  <si>
    <t>CBLP_SetPastePoint_(1)</t>
  </si>
  <si>
    <t>CBLP_StartCopy_(1)</t>
  </si>
  <si>
    <t>CBLP_StartCut_(1)</t>
  </si>
  <si>
    <t>SetCutAndPasteMode_(1)</t>
  </si>
  <si>
    <t>ClearCutAndPaste_(1)</t>
  </si>
  <si>
    <t>IsCutAndPasteActive_(1)</t>
  </si>
  <si>
    <t>CutAndPasteEnableButtons_(1)</t>
  </si>
  <si>
    <t>CBLP_ExecuteCutPaste_(1)</t>
  </si>
  <si>
    <t>UseExternalFlashArea_(1)</t>
  </si>
  <si>
    <t>IsFlashAreaEmpty_(1)</t>
  </si>
  <si>
    <t>ResetFlashArea_(1)</t>
  </si>
  <si>
    <t>ReverseVideoFlashArea_(1)</t>
  </si>
  <si>
    <t>BuildFindFlashArea_(1)</t>
  </si>
  <si>
    <t>FlashInvalidArea_(1)</t>
  </si>
  <si>
    <t>ResetInvalidArea_(1)</t>
  </si>
  <si>
    <t>FlashAreaWithColor_(1)</t>
  </si>
  <si>
    <t>GetCurrentPolygonRange_(1)</t>
  </si>
  <si>
    <t>IsPolygonDisplayed_(1)</t>
  </si>
  <si>
    <t>CBLP_GetTopRow_(1)</t>
  </si>
  <si>
    <t>CBLP_GetLeftMostColumnInTopRow_(1)</t>
  </si>
  <si>
    <t>GetShapeMode_(1)</t>
  </si>
  <si>
    <t>SetShapeMode_(1)</t>
  </si>
  <si>
    <t>FormatShapeMode_(1)</t>
  </si>
  <si>
    <t>HaveValidPolygon_(1)</t>
  </si>
  <si>
    <t>SizeOfPointList_(1)</t>
  </si>
  <si>
    <t>CBLP_FlashShape_(1)</t>
  </si>
  <si>
    <t>BuildLineSegmentRangeUnion_(1)</t>
  </si>
  <si>
    <t>CBLP_ColorRangeCore_(1)</t>
  </si>
  <si>
    <t>CBLP_InitializeShapeMode_(1)</t>
  </si>
  <si>
    <t>DetermineFillArea_(1)</t>
  </si>
  <si>
    <t>CBLP_EnableButtons_(1)</t>
  </si>
  <si>
    <t>CBLP_AddPointToListEnd_(1)</t>
  </si>
  <si>
    <t>RefreshPolygonOutline_(1)</t>
  </si>
  <si>
    <t>DrawPolygonOutline_(1)</t>
  </si>
  <si>
    <t>ClearArrows_(1)</t>
  </si>
  <si>
    <t>ClearPolygonCorners_(1)</t>
  </si>
  <si>
    <t>NudgePoint_(1)</t>
  </si>
  <si>
    <t>CBLP_InsertHalfwayPoint_(1)</t>
  </si>
  <si>
    <t>SizeOfRangeArray_(1)</t>
  </si>
  <si>
    <t>Rebuild_aPolygon_(1)</t>
  </si>
  <si>
    <t>DisplayPolygonExtent_(1)</t>
  </si>
  <si>
    <t>DumpaPolygon_(1)</t>
  </si>
  <si>
    <t>CBLP_Build_aPolygonForSelectedArea_(1)</t>
  </si>
  <si>
    <t>ArePointsDefined_(1)</t>
  </si>
  <si>
    <t>EnterPolygonPtMode_(1)</t>
  </si>
  <si>
    <t>ChangePolygonPtMode_(1)</t>
  </si>
  <si>
    <t>ExitPolygonPtMode_(1)</t>
  </si>
  <si>
    <t>CBLP_SetupPolygonMode_(1)</t>
  </si>
  <si>
    <t>CBLP_SetupLineMode_(1)</t>
  </si>
  <si>
    <t>CBLP_SetupSelectionMode_(1)</t>
  </si>
  <si>
    <t>InitializeSymbolCache_(1)</t>
  </si>
  <si>
    <t>CBLP_CACHE_SYMBOL_(1)</t>
  </si>
  <si>
    <t>CBLP_MarkSelection_(1)</t>
  </si>
  <si>
    <t>CBLP_UnmarkSelection_(1)</t>
  </si>
  <si>
    <t>CBLP_RemovePoint_(1)</t>
  </si>
  <si>
    <t>CBLP_PointListItemClicked_(1)</t>
  </si>
  <si>
    <t>LoadBoundaryListBox_(1)</t>
  </si>
  <si>
    <t>GetBoundaryColor_(1)</t>
  </si>
  <si>
    <t>DriveIntersect_(1)</t>
  </si>
  <si>
    <t>IsPointInsidePolygon_(1)</t>
  </si>
  <si>
    <t>DumpLine_(1)</t>
  </si>
  <si>
    <t>NextPoint_(1)</t>
  </si>
  <si>
    <t>NextIndex_(1)</t>
  </si>
  <si>
    <t>PrevPoint_(1)</t>
  </si>
  <si>
    <t>PrevIndex_(1)</t>
  </si>
  <si>
    <t>LinesIntersect_(1)</t>
  </si>
  <si>
    <t>dumpDIR_(1)</t>
  </si>
  <si>
    <t>FormatDIR_(1)</t>
  </si>
  <si>
    <t>ONLINE_(1)</t>
  </si>
  <si>
    <t>MIN_(1)</t>
  </si>
  <si>
    <t>MAX_(1)</t>
  </si>
  <si>
    <t>GetDirection_(1)</t>
  </si>
  <si>
    <t>XforPt_(1)</t>
  </si>
  <si>
    <t>YforPt_(1)</t>
  </si>
  <si>
    <t>DrawArrows_(1)</t>
  </si>
  <si>
    <t>PopulateRandomColorDictionary_(1)</t>
  </si>
  <si>
    <t>AddToColorSequence_(1)</t>
  </si>
  <si>
    <t>DumpColorSequence_(1)</t>
  </si>
  <si>
    <t>RandomDriver_(1)</t>
  </si>
  <si>
    <t>SetUpRandomPanel_(1)</t>
  </si>
  <si>
    <t>HaveRandomMatrix_(1)</t>
  </si>
  <si>
    <t>HandleDynamicTextboxUpdate_(1)</t>
  </si>
  <si>
    <t>ReturnRandomColorLetter_(1)</t>
  </si>
  <si>
    <t>ReturnSequenceColorLetter_(1)</t>
  </si>
  <si>
    <t>StartButtonTimer_(1)</t>
  </si>
  <si>
    <t>ClearButtonTimer_(1)</t>
  </si>
  <si>
    <t>TimeSinceTimerStart_(1)</t>
  </si>
  <si>
    <t>IsCommandTimerInHold_(1)</t>
  </si>
  <si>
    <t>ColorButton_(1)</t>
  </si>
  <si>
    <t>LetterUsageCount_(1)</t>
  </si>
  <si>
    <t>UpdateCounts_(1)</t>
  </si>
  <si>
    <t>FirstUsedLetter_(1)</t>
  </si>
  <si>
    <t>ColorBoxMainDriver_(1)</t>
  </si>
  <si>
    <t>UpdateSelectedColorOption_(1)</t>
  </si>
  <si>
    <t>HasCOLORBOXLoaded_(1)</t>
  </si>
  <si>
    <t>IsColorBoxGUI_Up_(1)</t>
  </si>
  <si>
    <t>SetupConstants_(1)</t>
  </si>
  <si>
    <t>Set_EMENU_MODE_NORMAL_(1)</t>
  </si>
  <si>
    <t>Set_EMENU_MODE_POLYGON_(1)</t>
  </si>
  <si>
    <t>PopulateColorList_(1)</t>
  </si>
  <si>
    <t>SelectedRGB_(1)</t>
  </si>
  <si>
    <t>SelectedColor_(1)</t>
  </si>
  <si>
    <t>SheetSwatchCharacterIndex_(1)</t>
  </si>
  <si>
    <t>CurrentSelectColorOffset_(1)</t>
  </si>
  <si>
    <t>SheetSwatchOffsetForLetter_(1)</t>
  </si>
  <si>
    <t>FirstSheetSwatchCharacter_(1)</t>
  </si>
  <si>
    <t>GetSelectedListEntryInventoryLocation_(1)</t>
  </si>
  <si>
    <t>InventoryDescriptionIndexRange_(1)</t>
  </si>
  <si>
    <t>InventoryRGBNameIndexRange_(1)</t>
  </si>
  <si>
    <t>Inventory_First_RGBName_Cell_(1)</t>
  </si>
  <si>
    <t>RebuildrgbNameSheet_(1)</t>
  </si>
  <si>
    <t>CB_LOG_(1)
CB_AdjustColor_(1)
UpdateCB_Sample_(1)</t>
  </si>
  <si>
    <t>CB_LOG_(1)
CBS_UpdateMixer_(1)</t>
  </si>
  <si>
    <t>CBS_RED_SPINNER_SpinDown_(1)
CBS_RED_SPINNER_SpinUp_(1)
CBS_GREEN_SPINNER_SpinDown_(1)
CBS_GREEN_SPINNER_SpinUp_(1)
CBS_BLUE_SPINNER_SpinDown_(1)
CBS_BLUE_SPINNER_SpinUp_(1)
CBS_DARK_SPINNER_SpinDown_(1)
CBS_DARK_SPINNER_SpinUp_(1)
PopupSample_(1)</t>
  </si>
  <si>
    <t>UpdateCB_Sample_(1)
CBS_DisplayHeader_(1)
CB_LOG_(1)</t>
  </si>
  <si>
    <t>PopulateMixerArray_(1)
CB_MIXER_CHANGE_COLOR_(1)</t>
  </si>
  <si>
    <t>ColorFromRGBValues_(1)
UpdateColorHistory_(1)
BW_TextColorForColor_(1)</t>
  </si>
  <si>
    <t>CB_LOG_(1)
CNC_NewNameEdit_(1)</t>
  </si>
  <si>
    <t>CB_LOG_(1)
CNC_StoreNewColor_(1)</t>
  </si>
  <si>
    <t>CB_LOG_(1)
CNC_DeleteExistingColorName_(1)</t>
  </si>
  <si>
    <t>CB_LOG_(1)
CNC_ChangeColorName_(1)</t>
  </si>
  <si>
    <t>CB_LOG_(1)
CNC_UpdateExistingColorForName_(1)</t>
  </si>
  <si>
    <t>CNC_CLASS_LIST_Change_(1)
CNC_NEWNAME_Change_(1)</t>
  </si>
  <si>
    <t>UpdateCB_Sample_(1)
CNC_OpenNewColorForm_(1)</t>
  </si>
  <si>
    <t>BW_TextColorForColor_(1)
UpdateColorHistory_(1)
GetColorName_(1)
CSV_StringFromColorValues_(1)
InventoryRGBNameIndexRange_(1)
ColorUsedByLetters_(1)
UniqueItemsInRange_(1)
CNC_EnableButtons_(1)
CB_LOG_(1)</t>
  </si>
  <si>
    <t>InventoryRGBNameIndexRange_(1)
IsNameInInventory_(1)
SetNamesClass_(1)</t>
  </si>
  <si>
    <t>CNC_EnableButtons_(1)
CNC_NewNameEdit_(1)</t>
  </si>
  <si>
    <t>CNC_OpenNewColorForm_(1)
CNC_NewNameEdit_(1)</t>
  </si>
  <si>
    <t>InventoryRGBNameIndexRange_(1)
CreateNormalName_(1)
BW_TextColorForColor_(1)
SetNamesClass_(1)
CNC_EnableButtons_(1)</t>
  </si>
  <si>
    <t>InventoryRGBNameIndexRange_(1)
ReturnRGBElementsFromCSV_(1)
ColorFromRGBValues_(1)
CreateNormalName_(1)
RebuildrgbNameSheet_(1)</t>
  </si>
  <si>
    <t>Confirm_(1)
InventoryRGBNameIndexRange_(1)
RebuildrgbNameSheet_(1)
CB_MIXER_CHANGE_COLOR_(1)</t>
  </si>
  <si>
    <t>CNC_NewNameEdit_(1)
CNC_StoreNewColor_(1)
CNC_ChangeColorName_(1)</t>
  </si>
  <si>
    <t>InventoryRGBNameIndexRange_(1)
CreateNormalName_(1)</t>
  </si>
  <si>
    <t>SheetSwatchCharacterIndex_(1)
PopulateColorList_(1)
PopulateSwatches_(1)</t>
  </si>
  <si>
    <t>CNC_StoreNewColor_(1)
CNC_DeleteExistingColorName_(1)
CNC_UpdateExistingColorForName_(1)</t>
  </si>
  <si>
    <t>InventoryRGBNameIndexRange_(1)
ReturnRGBElementsFromCSV_(1)
ColorFromRGBValues_(1)
RebuildrgbNameSheet_(1)
CB_MIXER_CHANGE_COLOR_(1)</t>
  </si>
  <si>
    <t>CSV_StringFromColor_(1)
BW_TextColorForColor_(1)
CB_LOG_(1)</t>
  </si>
  <si>
    <t>Saturation_(1)
Luminosity_(1)</t>
  </si>
  <si>
    <t>GetRestoreFilename_(1)
ForceClearOverride_(1)
SetOverride_(1)
CB_DoRepaint_(1)</t>
  </si>
  <si>
    <t>GetRestoreFilename_(1)
NewestBackupNumber_(1)</t>
  </si>
  <si>
    <t>GetBackupPath_(1)
RemoveFileExtension_(1)</t>
  </si>
  <si>
    <t>GetBackupPath_(1)
MakeSureDirectoryExists_(1)</t>
  </si>
  <si>
    <t>GetRestoreFilename_(1)
NewestBackupNumber_(1)
InitializeBackup_(1)
DoBackup_(1)</t>
  </si>
  <si>
    <t>NewestBackupNumber_(1)
GetBackupPath_(1)
CB_LOG_(1)</t>
  </si>
  <si>
    <t>DistanceFromPointToLineSegment_(1)
AddToUnion_(1)</t>
  </si>
  <si>
    <t>CB_LOG_(1)
ExitPolygonPtMode_(1)</t>
  </si>
  <si>
    <t>SetOverride_(1)
CB_UsedRange_(1)
CountInstancesIn_(1)
BagCount_(1)
ClearOverride_(1)</t>
  </si>
  <si>
    <t>CreateCircleUnion_(1)
UseExternalFlashArea_(1)
ColorForChar_(1)
FlashAreaWithColor_(1)</t>
  </si>
  <si>
    <t>CBDC_FlashCircleAction_(1)
CBDC_AssignCircleColorAction_(1)</t>
  </si>
  <si>
    <t>Confirm_(1)
CreateCircleUnion_(1)
AssignRangeUnion_(1)</t>
  </si>
  <si>
    <t>IsAlpha_(1)
ColumnLetterToNumber_(1)
ColumnNumberToLetter_(1)
CBDC_EnableButtons_(1)</t>
  </si>
  <si>
    <t>CreateCenterPointUnion_(1)
UseExternalFlashArea_(1)
ColorForChar_(1)
FlashAreaWithColor_(1)</t>
  </si>
  <si>
    <t>IsAlpha_(1)
ColorNameForLetter_(1)</t>
  </si>
  <si>
    <t>IsCellSelected_(1)
CB_LOG_(1)</t>
  </si>
  <si>
    <t>CB_LOG_(1)
Confirm_(1)
ReassignArea_(1)
UpdateCounts_(1)</t>
  </si>
  <si>
    <t>CB_LOG_(1)
ReportAlphaBetUsage_(1)</t>
  </si>
  <si>
    <t>IsOverrideSet_(1)
CB_LOG_(1)
HandleColorListSelection_(1)</t>
  </si>
  <si>
    <t>IsOverrideSet_(1)
CB_LOG_(1)
CB_ApplyCellSize_(1)</t>
  </si>
  <si>
    <t>CB_ALL_REASSIGN_Click_(1)
CB_AREA_REASSIGN_Click_(1)</t>
  </si>
  <si>
    <t>CB_LOG_(1)
ReassignArea_(1)
UpdateCounts_(1)</t>
  </si>
  <si>
    <t>CB_LOG_(1)
CB_AssignDarkContrastingTextColor_(1)</t>
  </si>
  <si>
    <t>CB_LOG_(1)
CB_AssignLightContrastingTextColor_(1)</t>
  </si>
  <si>
    <t>IsOverrideSet_(1)
CB_LOG_(1)
SetSysParmValue_(1)</t>
  </si>
  <si>
    <t>CB_LOG_(1)
ClearBeyondPatternEdges_(1)</t>
  </si>
  <si>
    <t>CB_LOG_(1)
CB_ClearSelection_(1)</t>
  </si>
  <si>
    <t>CB_LOG_(1)
CB_Initialize_Undo_(1)</t>
  </si>
  <si>
    <t>CB_LOG_(1)
ChangeColorDistanceMethod_(1)</t>
  </si>
  <si>
    <t>CB_LOG_(1)
CB_ColorSelectedArea_(1)</t>
  </si>
  <si>
    <t>CB_LOG_(1)
ConfigureSheetForColorbox_(1)</t>
  </si>
  <si>
    <t>CB_LOG_(1)
CB_ToggleSuspendColorbox_(1)</t>
  </si>
  <si>
    <t>CB_LOG_(1)
CB_FadeAll_(1)</t>
  </si>
  <si>
    <t>CB_LOG_(1)
CB_FadeSelected_(1)</t>
  </si>
  <si>
    <t>CB_LOG_(1)
StartButtonTimer_(1)
FlashAreaFindTarget_(1)</t>
  </si>
  <si>
    <t>CB_LOG_(1)
IsCommandTimerInHold_(1)
ResetFlashArea_(1)
ClearButtonTimer_(1)</t>
  </si>
  <si>
    <t>CB_LOG_(1)
StartButtonTimer_(1)
DisplayColorChangeAsTest_(1)</t>
  </si>
  <si>
    <t>CB_LOG_(1)
StartButtonTimer_(1)
FlashInvalid_(1)</t>
  </si>
  <si>
    <t>CB_LOG_(1)
IsCommandTimerInHold_(1)
ResetInvalidArea_(1)
ClearButtonTimer_(1)</t>
  </si>
  <si>
    <t>CB_LOG_(1)
FlipIt_(1)</t>
  </si>
  <si>
    <t>CB_LOG_(1)
MirrorSelectionDown_(1)</t>
  </si>
  <si>
    <t>CB_FLASH_INVALID_MouseUp_(1)
CB_REMOVE_INVALID_MARKING_Click_(1)</t>
  </si>
  <si>
    <t>CB_LOG_(1)
ResetInvalidArea_(1)</t>
  </si>
  <si>
    <t>CB_LOG_(1)
StartButtonTimer_(1)
FlashAllFindTarget_(1)</t>
  </si>
  <si>
    <t>IsCommandTimerInHold_(1)
ResetFlashArea_(1)
CB_LOG_(1)
ClearButtonTimer_(1)</t>
  </si>
  <si>
    <t>CB_LOG_(1)
StartButtonTimer_(1)
FlashOtherFindTarget_(1)</t>
  </si>
  <si>
    <t>CB_LOG_(1)
CB_DoRepaint_(1)</t>
  </si>
  <si>
    <t>CB_LOG_(1)
CB_ZOOM_DELTA_(1)</t>
  </si>
  <si>
    <t>CB_FIND_ZOOM_MINUS_Click_(1)
CB_FIND_ZOOM_PLUS_Click_(1)</t>
  </si>
  <si>
    <t>CB_LOG_(1)
CB_ZOOM_ON_SELECTED_(1)</t>
  </si>
  <si>
    <t>IsOverrideSet_(1)
CB_LOG_(1)
SetSysParmValue_(1)
MoveSwatchEnable_(1)
PopulateSwatches_(1)</t>
  </si>
  <si>
    <t>CB_LOG_(1)
ConfigureForLeftSourceColors_(1)</t>
  </si>
  <si>
    <t>IsOverrideSet_(1)
CB_LOG_(1)
PopulateColorList_(1)
SetSysParmValue_(1)</t>
  </si>
  <si>
    <t>CB_LOG_(1)
FindNextError_(1)</t>
  </si>
  <si>
    <t>CB_LOG_(1)
IsOverrideSet_(1)
CB_ValidatePrefix_(1)</t>
  </si>
  <si>
    <t>CB_LOG_(1)
CB_Quick_ZOOM_(1)</t>
  </si>
  <si>
    <t>CB_LOG_(1)
CB_RepaintColor_(1)</t>
  </si>
  <si>
    <t>CB_LOG_(1)
CB_RepaintDisplay_(1)</t>
  </si>
  <si>
    <t>CB_LOG_(1)
CB_Reselect_(1)</t>
  </si>
  <si>
    <t>CB_RESELECT_AREA_Click_(1)
CB_RESELECT_AREA2_Click_(1)
CB_RESELECT_AREA3_Click_(1)</t>
  </si>
  <si>
    <t>CB_LOG_(1)
RestoreFromFile_(1)</t>
  </si>
  <si>
    <t>CB_LOG_(1)
CB_SCROLL_(1)</t>
  </si>
  <si>
    <t>CB_LOG_(1)
SetSysParmValue_(1)</t>
  </si>
  <si>
    <t>CB_LOG_(1)
IsOverrideSet_(1)
SetSysParmValue_(1)
PopulateSwatches_(1)</t>
  </si>
  <si>
    <t>CB_LOG_(1)
IsOverrideSet_(1)
SetSysParmValue_(1)</t>
  </si>
  <si>
    <t>CB_LOG_(1)
CB_SwapLetters_(1)</t>
  </si>
  <si>
    <t>CB_LOG_(1)
CB_UNDOIT_(1)</t>
  </si>
  <si>
    <t>CB_LOG_(1)
IsOverrideSet_(1)
CB_Update_Undo_Depth_(1)</t>
  </si>
  <si>
    <t>CB_FIND_ZOOM_SELECTION_Click_(1)
CB_ZOOM_SELECTION_Click_(1)</t>
  </si>
  <si>
    <t>CB_LOG_(1)
CBLP_AddPointToListEnd_(1)</t>
  </si>
  <si>
    <t>CB_LOG_(1)
CBLP_StartCopy_(1)</t>
  </si>
  <si>
    <t>ClearCutAndPaste_(1)
RefreshPolygonOutline_(1)</t>
  </si>
  <si>
    <t>CB_LOG_(1)
CBLP_StartCut_(1)</t>
  </si>
  <si>
    <t>CB_LOG_(1)
NudgePoint_(1)</t>
  </si>
  <si>
    <t>CB_LOG_(1)
ChangePolygonPtMode_(1)</t>
  </si>
  <si>
    <t>CB_LOG_(1)
CBLP_ExecuteCutPaste_(1)</t>
  </si>
  <si>
    <t>CB_LOG_(1)
RefreshPolygonOutline_(1)</t>
  </si>
  <si>
    <t>CB_LOG_(1)
CBLP_SetPastePoint_(1)</t>
  </si>
  <si>
    <t>CB_LOG_(1)
IsOverrideSet_(1)
CB_MakeColorAssignment_(1)</t>
  </si>
  <si>
    <t>CB_LOG_(1)
DoBackup_(1)</t>
  </si>
  <si>
    <t>IsOverrideSet_(1)
CB_LOG_(1)
CB_CELL_SIZE_EnableButtons_(1)</t>
  </si>
  <si>
    <t>CB_LOG_(1)
PopulateColorList_(1)</t>
  </si>
  <si>
    <t>CB_LOG_(1)
PopupSample_(1)</t>
  </si>
  <si>
    <t>CB_LOG_(1)
CB_ZOOM_(1)</t>
  </si>
  <si>
    <t>CB_LOG_(1)
CB_10x10_EnableButtons_(1)</t>
  </si>
  <si>
    <t>CB_LOG_(1)
CB_UpdateGridSize_(1)
CB_Draw10x10_(1)</t>
  </si>
  <si>
    <t>Set_EMENU_MODE_NORMAL_(1)
CB_LOG_(1)</t>
  </si>
  <si>
    <t>CB_LOG_(1)
CB_FindNext_(1)</t>
  </si>
  <si>
    <t>CB_LOG_(1)
CB_FindUsage_(1)
CB_FIND_EnableButtons_(1)</t>
  </si>
  <si>
    <t>CB_FLIP_90_LEFT_Click_(1)
CB_FLIP_90_RIGHT_Click_(1)
CB_FLIP_IT_Click_(1)</t>
  </si>
  <si>
    <t>CB_LOG_(1)
ToFromEnableButtons_(1)</t>
  </si>
  <si>
    <t>CB_LOG_(1)
CB_ShowJustColors_(1)</t>
  </si>
  <si>
    <t>CB_LOG_(1)
CB_AdjustSpinner_(1)
PopulateMixerArray_(1)</t>
  </si>
  <si>
    <t>CB_PIVOT_DOWN_Click_(1)
CB_MIRROR_DOWN_Click_(1)</t>
  </si>
  <si>
    <t>CB_LOG_(1)
MirrorSelectionRight_(1)</t>
  </si>
  <si>
    <t>CB_MIRROR_RIGHT_Click_(1)
CB_PIVOT_RIGHT_Click_(1)</t>
  </si>
  <si>
    <t>CB_LOG_(1)
CB_AdjustColor_(1)
CB_MIXER_CHANGE_COLOR_(1)</t>
  </si>
  <si>
    <t>CB_AdjustColor_(1)
CB_LOG_(1)
CB_MIXER_CHANGE_COLOR_(1)</t>
  </si>
  <si>
    <t>CBS_RED_SPINNER_SpinDown_(1)
CBS_RED_SPINNER_SpinUp_(1)
CBS_GREEN_SPINNER_SpinDown_(1)
CBS_GREEN_SPINNER_SpinUp_(1)
CBS_BLUE_SPINNER_SpinDown_(1)
CBS_BLUE_SPINNER_SpinUp_(1)
CBS_DARK_SPINNER_SpinDown_(1)
CBS_DARK_SPINNER_SpinUp_(1)
CB_MIXER_LT_SPINNER_SpinUp_(1)
CB_MIXER_LT_SPINNER_SpinDown_(1)
CB_MIXER_RED_SPIN_SpinUp_(1)
CB_MIXER_RED_SPIN_SpinDown_(1)
CB_MIXER_GREEN_SPIN_SpinUp_(1)
CB_MIXER_GREEN_SPIN_SpinDown_(1)
CB_MIXER_BLUE_SPIN_SpinUp_(1)
CB_MIXER_BLUE_SPIN_SpinDown_(1)</t>
  </si>
  <si>
    <t>IsOverrideSet_(1)
CB_MIXER_RED_VALUE_AfterUpdate_(1)</t>
  </si>
  <si>
    <t>IsOverrideSet_(1)
CB_MIXER_GREEN_VALUE_AfterUpdate_(1)</t>
  </si>
  <si>
    <t>IsOverrideSet_(1)
CB_MIXER_BLUE_VALUE_AfterUpdate_(1)</t>
  </si>
  <si>
    <t>IsOverrideSet_(1)
AllowValidColorValues_(1)
CB_MIXER_CHANGE_COLOR_(1)</t>
  </si>
  <si>
    <t>CB_MIXER_RED_VALUE_AfterUpdate_(1)
CB_MIXER_GREEN_VALUE_AfterUpdate_(1)
CB_MIXER_BLUE_VALUE_AfterUpdate_(1)</t>
  </si>
  <si>
    <t>CB_LOG_(1)
CNC_OpenNewColorForm_(1)</t>
  </si>
  <si>
    <t>CB_LOG_(1)
CB_AdjustSpinner_(1)</t>
  </si>
  <si>
    <t>CB_MATRIX_SPINNER_SpinUp_(1)
CB_MATRIX_SPINNER_SpinDown_(1)
CB_MIXER_STEP_SPINNER_SpinDown_(1)
CB_MIXER_STEP_SPINNER_SpinUp_(1)</t>
  </si>
  <si>
    <t>CB_LOG_(1)
CB_MoveSwatch_(1)
UpdateCounts_(1)</t>
  </si>
  <si>
    <t>CB_LOG_(1)
CreateNewPattern_(1)</t>
  </si>
  <si>
    <t>CB_LOG_(1)
OpenHelp_(1)</t>
  </si>
  <si>
    <t>CB_LOG_(1)
CB_GotoNextWindow_(1)</t>
  </si>
  <si>
    <t>CB_LOG_(1)
UpdateCounts_(1)
PopulateSwatches_(1)</t>
  </si>
  <si>
    <t>Confirm_(1)
CB_LOG_(1)
CB_DoRepaint_(1)</t>
  </si>
  <si>
    <t>CB_LOG_(1)
CB_DoRepaintSelection_(1)</t>
  </si>
  <si>
    <t>CB_LOG_(1)
Set_EMENU_MODE_NORMAL_(1)
ColorBoxMainDriver_(1)</t>
  </si>
  <si>
    <t>CB_SCROLL_DOWN_LEFT_Click_(1)
CB_SCROLL_DOWN_RIGHT_Click_(1)
CB_SCROLL_UP_LEFT_Click_(1)
CB_SCROLL_UP_RIGHT_Click_(1)
CB_SCROLL_UP_Click_(1)
CB_SCROLL_DOWN_Click_(1)
CB_SCROLL_LEFT_Click_(1)
CB_SCROLL_RIGHT_Click_(1)</t>
  </si>
  <si>
    <t>CB_LOG_(1)
PopulateColorboxHistory_(1)</t>
  </si>
  <si>
    <t>CB_LOG_(1)
StartButtonTimer_(1)
FlashSelectedColor_(1)</t>
  </si>
  <si>
    <t>IsCommandTimerInHold_(1)
ResetFlashArea_(1)
ClearButtonTimer_(1)</t>
  </si>
  <si>
    <t>CB_LOG_(1)
StartButtonTimer_(1)
DisplayColorAsTest_(1)</t>
  </si>
  <si>
    <t>CB_LOG_(1)
ProcessMultiPageSelection_(1)</t>
  </si>
  <si>
    <t>CB_DEPTH_Change_(1)
CB_WIDTH_Change_(1)</t>
  </si>
  <si>
    <t>CB_CURRENT_ZOOM_DblClick_(1)
CB_ZOOM_BOX_DblClick_(1)</t>
  </si>
  <si>
    <t>CB_LOG_(1)
CBLP_ColorRangeCore_(1)</t>
  </si>
  <si>
    <t>CB_LOG_(1)
StartButtonTimer_(1)
CBLP_FlashShape_(1)</t>
  </si>
  <si>
    <t>CB_LOG_(1)
CBLP_SetupLineMode_(1)</t>
  </si>
  <si>
    <t>CB_LOG_(1)
CBLP_SetupPolygonMode_(1)</t>
  </si>
  <si>
    <t>CB_LOG_(1)
CBLP_SetupSelectionMode_(1)</t>
  </si>
  <si>
    <t>CB_LOG_(1)
ClearArrows_(1)</t>
  </si>
  <si>
    <t>CB_LOG_(1)
CBLP_CACHE_SYMBOL_(1)
CBLP_EnableButtons_(1)
ColorComboBox_(1)</t>
  </si>
  <si>
    <t>CB_LOG_(1)
CBDC_AssignCircleColorAction_(1)</t>
  </si>
  <si>
    <t>CB_LOG_(1)
CBDC_EnableButtons_(1)
ColorTextBox_(1)</t>
  </si>
  <si>
    <t>CB_LOG_(1)
SetCBDC_ColALpha_(1)</t>
  </si>
  <si>
    <t>CB_LOG_(1)
StartButtonTimer_(1)
CBDC_FlashCenterpoint_(1)</t>
  </si>
  <si>
    <t>CB_FIND_FLASH_AREA_MouseDown_(1)
CB_FLASH_CHANGE_MouseDown_(1)
CB_FLASH_INVALID_MouseDown_(1)
CB_FIND_FLASH_MouseDown_(1)
CB_FIND_FLASH_OTHERS_MouseDown_(1)
CBSC_FLASH_COLOR_MouseDown_(1)
CBSC_TEST_COLOR_MouseDown_(1)
CBLP_FLASH_AREA_MouseDown_(1)
CBDC_FLASH_CENTER_MouseDown_(1)
CBDC_FLASH_CIRCLE_MouseDown_(1)</t>
  </si>
  <si>
    <t>CB_LOG_(1)
StartButtonTimer_(1)
CBDC_FlashCircleAction_(1)</t>
  </si>
  <si>
    <t>CB_FIND_FLASH_AREA_MouseUp_(1)
CB_FLASH_CHANGE_MouseUp_(1)
CB_FLASH_INVALID_MouseUp_(1)
CB_FIND_FLASH_MouseUp_(1)
CB_FIND_FLASH_OTHERS_MouseUp_(1)
CBSC_FLASH_COLOR_MouseUp_(1)
CBSC_TEST_COLOR_MouseUp_(1)
CBLP_FLASH_AREA_MouseUp_(1)
CBDC_FLASH_CENTER_MouseUp_(1)
CBDC_FLASH_CIRCLE_Mouseup_(1)</t>
  </si>
  <si>
    <t>CB_FIND_FLASH_AREA_MouseUp_(1)
CB_FLASH_CHANGE_MouseUp_(1)
CB_FIND_FLASH_MouseUp_(1)
CB_FIND_FLASH_OTHERS_MouseUp_(1)
CBSC_FLASH_COLOR_MouseUp_(1)
CBSC_TEST_COLOR_MouseUp_(1)
CBLP_FLASH_AREA_MouseUp_(1)
CBDC_FLASH_CENTER_MouseUp_(1)
CBDC_FLASH_CIRCLE_Mouseup_(1)</t>
  </si>
  <si>
    <t>CB_LOG_(1)
SetCenterPointToSelectedCell_(1)</t>
  </si>
  <si>
    <t>CB_LOG_(1)
CBDC_EnableButtons_(1)</t>
  </si>
  <si>
    <t>SetCBDC_ColALpha_(1)
CBDC_CIRCLE_SYMBOL_Change_(1)
CBDC_RADIUS_Change_(1)
CBDC_ROW_Change_(1)</t>
  </si>
  <si>
    <t>CB_MOVESWATCH_SP_SpinDown_(1)
CB_MOVESWATCH_SP_SpinUp_(1)
CB_MOVESWATCH2_SP_SpinDown_(1)
CB_MOVESWATCH2_SP_SpinUp_(1)</t>
  </si>
  <si>
    <t>CB_LOG_(1)
CBLP_InsertHalfwayPoint_(1)
CBLP_EnableButtons_(1)</t>
  </si>
  <si>
    <t>CB_LOG_(1)
CBLP_RemovePoint_(1)
CBLP_EnableButtons_(1)</t>
  </si>
  <si>
    <t>CB_LOG_(1)
CBLP_PointListItemClicked_(1)</t>
  </si>
  <si>
    <t>CB_LOG_(1)
ClearArrows_(1)
ClearPolygonCorners_(1)
CBLP_EnableButtons_(1)</t>
  </si>
  <si>
    <t>CBLP_DOWN_LEFT_Click_(1)
CBLP_DOWN_RIGHT_Click_(1)
CBLP_UP_LEFT_Click_(1)
CBLP_UP_RIGHT_Click_(1)
CBLP_LEFT_Click_(1)
CBLP_RIGHT_Click_(1)
CBLP_UP_Click_(1)
CBLP_DOWN_Click_(1)</t>
  </si>
  <si>
    <t>IsCellSelected_(1)
IsPolygonDisplayed_(1)
ClearPolygonCorners_(1)
ClearArrows_(1)</t>
  </si>
  <si>
    <t>ForceClearOverride_(1)
SetOverride_(1)
ForceConfirm_(1)
SetupPatternCode_(1)
CB_ApplyCellSize_(1)
CB_DoRepaint_(1)
CB_Quick_ZOOM_(1)</t>
  </si>
  <si>
    <t>Confirm_(1)
SetupPatternCode_(1)</t>
  </si>
  <si>
    <t>IsCellSelected_(1)
Confirm_(1)
SetOverride_(1)
ClearOverride_(1)
CB_DoRepaint_(1)</t>
  </si>
  <si>
    <t>InitializeAlternateColorDistance_(1)
ChangeColorDistanceMethod_(1)</t>
  </si>
  <si>
    <t>DisplayColorDistanceMethod_(1)
IsOverrideSet_(1)
CB_LOG_(1)
CB_MIXER_CHANGE_COLOR_(1)</t>
  </si>
  <si>
    <t>SheetSwatchCharacterIndex_(1)
SelectedSwatchLetter_(1)
GetCase_(1)
PopulateSwatches_(1)</t>
  </si>
  <si>
    <t>CNC_OpenNewColorForm_(1)
UpdateClosestLabel_(1)</t>
  </si>
  <si>
    <t>DistanceFromColorBlack_(1)
ColorUsedByLetters_(1)
BW_TextColorForColor_(1)</t>
  </si>
  <si>
    <t>IsOverrideSet_(1)
ColorLimit_(1)
ColorFromRGBValues_(1)
GetColorName_(1)
CSV_StringFromColor_(1)
BW_TextColorForColor_(1)</t>
  </si>
  <si>
    <t>SheetSwatchCharacterIndex_(1)
BW_TextColorForColor_(1)
CSV_StringFromColor_(1)</t>
  </si>
  <si>
    <t>IsOverrideSet_(1)
ColorFromRGBValues_(1)
BW_TextColorForColor_(1)
GetColorName_(1)
UpdateClosestDefinedColors_(1)
PopulateMixerArray_(1)
CB_LOG_(1)</t>
  </si>
  <si>
    <t>ColorForChar_(1)
ColorNameForLetter_(1)
ExtractRGBValuesFromColor_(1)
ReturnRGBElementsFromCSV_(1)
ColorFromRGBValues_(1)
GetColorName_(1)
ColorValueForRGBName_(1)</t>
  </si>
  <si>
    <t>CB_LOG_(1)
ExtractColorNameAndRGBColorsFromLabel_(1)
SetOverride_(1)
ClearOverride_(1)
CB_MIXER_CHANGE_COLOR_(1)
PopulateColorList_(1)</t>
  </si>
  <si>
    <t>HandleColorLabelSelection_(1)
HandleLabelDblClick_(1)</t>
  </si>
  <si>
    <t>CB_LOG_(1)
ExtractColorNameAndRGBColorsFromLabel_(1)
SetOverride_(1)
ClearOverride_(1)
CB_MIXER_CHANGE_COLOR_(1)
PopupSample_(1)</t>
  </si>
  <si>
    <t>SetupMixerArray_(1)
SetupInventoryArray_(1)
SetUpClosestColorArrays_(1)</t>
  </si>
  <si>
    <t>SetSysParmValue_(1)
PopulateColorList_(1)</t>
  </si>
  <si>
    <t>IsOverrideSet_(1)
IsValidSymbol_(1)
ChangeSelectedLetter_(1)</t>
  </si>
  <si>
    <t>CB_LOG_(1)
SetOverride_(1)
SheetSwatchCharacterIndex_(1)
BW_TextColorForColor_(1)
ContrastingColorForText_(1)
Apply10x10Border_(1)
SaveBackupIfTime_(1)
ClearOverride_(1)</t>
  </si>
  <si>
    <t>isColorboxSuspended_(1)
HasCOLORBOXLoaded_(1)
SetupConstants_(1)
ColorForChar_(1)
ContrastingColorForText_(1)</t>
  </si>
  <si>
    <t>CB_HandleCellUpdate_(1)
CB_ShowCellValue_(1)
HandleCellSelection_(1)</t>
  </si>
  <si>
    <t>isColorboxSuspended_(1)
CB_LOG_(1)
IsOverrideSet_(1)
HasCOLORBOXLoaded_(1)
ForceClearOverride_(1)
SetupConstants_(1)
CB_Initialize_Undo_(1)
UndoStackMaxDepth_(1)
RecordRangeState_(1)
IsPolygonDisplayed_(1)
ClearPolygonCorners_(1)
ClearArrows_(1)
UpdateCurrentLetter_(1)
ToFromEnableButtons_(1)
CB_FIND_EnableButtons_(1)
CBSC_EnableButtons_(1)
ValidateDoUndo_(1)
CBLP_Build_aPolygonForSelectedArea_(1)
Selection_EnableButtons_(1)
AreaEnableButtons_(1)</t>
  </si>
  <si>
    <t>IsCellSelected_(1)
IsPolygonDisplayed_(1)</t>
  </si>
  <si>
    <t>IsOverrideSet_(1)
ColorForChar_(1)
BW_TextColorForColor_(1)
ExtractRGBValuesFromColor_(1)
SetOverride_(1)
ClearOverride_(1)
CB_MIXER_CHANGE_COLOR_(1)
CBSC_EnableButtons_(1)
UpdateSelectedColorOption_(1)</t>
  </si>
  <si>
    <t>ChangeSelectedLetter_(1)
CB_LOG_(1)
PopulateColorList_(1)
CB_MIXER_CHANGE_COLOR_(1)</t>
  </si>
  <si>
    <t>ChangeSelectedLetter_(1)
CB_LOG_(1)
PopulateColorList_(1)
CB_MIXER_CHANGE_COLOR_(1)
PopupSample_(1)
GotoMultipageTab_(1)</t>
  </si>
  <si>
    <t>ColorForChar_(1)
BW_TextColorForColor_(1)
ExtractRGBValuesFromColor_(1)
CBSC_EnableButtons_(1)</t>
  </si>
  <si>
    <t>IsOverrideSet_(1)
OverrideHolder_(1)
GetSelectedListEntryInventoryLocation_(1)
ReturnRGBElementsFromCSV_(1)
UpdateClosestDefinedColors_(1)
PopulateMixerArray_(1)
CBSC_EnableButtons_(1)</t>
  </si>
  <si>
    <t>CB_UsedRange_(1)
CB_ColorCell_(1)
HandleCellSelection_(1)</t>
  </si>
  <si>
    <t>SetOverride_(1)
CB_UsedRange_(1)
CB_ColorCell_(1)
ClearOverride_(1)</t>
  </si>
  <si>
    <t>IsCellSelected_(1)
IsPolygonDisplayed_(1)
DetermineFillArea_(1)
CB_ColorCell_(1)</t>
  </si>
  <si>
    <t>DisplayedCells_(1)
CB_ColorCell_(1)</t>
  </si>
  <si>
    <t>GetSysParmRange_(1)
CB_Draw10x10_(1)</t>
  </si>
  <si>
    <t>SetCBDC_ColALpha_(1)
CB_ApplyCellSize_(1)</t>
  </si>
  <si>
    <t>ColumnNumberToLetter_(1)
CB_ReportCellSize_(1)</t>
  </si>
  <si>
    <t>IsCellSelected_(1)
CB_LOG_(1)
Confirm_(1)
ClearArrows_(1)</t>
  </si>
  <si>
    <t>SetupConstants_(1)
SheetSwatchCharacterIndex_(1)</t>
  </si>
  <si>
    <t>GetSysParmIndex_(1)
CreateSysParm_(1)</t>
  </si>
  <si>
    <t>GetSysParmRange_(1)
CreateSysParm_(1)</t>
  </si>
  <si>
    <t>ClearColorboxSuspended_(1)
SetColorboxSuspended_(1)
CB_LOG_(1)</t>
  </si>
  <si>
    <t>FormatOverrides_(1)
CB_LOG_(1)</t>
  </si>
  <si>
    <t>BuildFindFlashArea_(1)
IsFlashAreaEmpty_(1)
ClearButtonTimer_(1)
FlashInvalidArea_(1)</t>
  </si>
  <si>
    <t>BuildFindFlashArea_(1)
ReverseVideoFlashArea_(1)</t>
  </si>
  <si>
    <t>FlashSelectedColor_(1)
FlashAllFindTarget_(1)
FlashAreaFindTarget_(1)
FlashOtherFindTarget_(1)</t>
  </si>
  <si>
    <t>FlashInvalid_(1)
FlashSelectedColor_(1)
FlashAllFindTarget_(1)
FlashAreaFindTarget_(1)
FlashOtherFindTarget_(1)
DisplayColorAsTest_(1)</t>
  </si>
  <si>
    <t>GetSelectedListEntryInventoryLocation_(1)
ClearButtonTimer_(1)
BuildFindFlashArea_(1)
IsFlashAreaEmpty_(1)
FlashAreaWithColor_(1)</t>
  </si>
  <si>
    <t>ColorForChar_(1)
IsPolygonDisplayed_(1)
GetCurrentPolygonRange_(1)
IsCellSelected_(1)
ClearButtonTimer_(1)
AddToUnion_(1)
UseExternalFlashArea_(1)
FlashAreaWithColor_(1)</t>
  </si>
  <si>
    <t>CB_UsedRange_(1)
ColorForChar_(1)
BW_TextColorForColor_(1)
ColorNameForLetter_(1)
CountInstancesInRange_(1)
UpdateDisplayedZoom_(1)</t>
  </si>
  <si>
    <t>IsCellSelected_(1)
CB_UsedRange_(1)
ColorNameForLetter_(1)
CenterSelectedCell_(1)
UpdateDisplayedZoom_(1)</t>
  </si>
  <si>
    <t>IsCellSelected_(1)
CB_UsedRange_(1)
NextCellsInRange_(1)
IsValidSymbol_(1)
CenterSelectedCell_(1)</t>
  </si>
  <si>
    <t>SheetSwatchCharacterIndex_(1)
ColorForChar_(1)
BW_TextColorForColor_(1)
ColorNameForLetter_(1)
CB_LOG_(1)
IsPolygonDisplayed_(1)
IsCellSelected_(1)</t>
  </si>
  <si>
    <t>SetOverride_(1)
IsCellSelected_(1)
CB_LOG_(1)
Confirm_(1)
RecordRangeState_(1)
ClearOverride_(1)
UpdateCounts_(1)</t>
  </si>
  <si>
    <t>CB_EndSelection_(1)
HandleCellSelection_(1)
AreaEnableButtons_(1)
CB_DoRepaintSelection_(1)
DisplayColorChangeAsTest_(1)
ToFromEnableButtons_(1)
ReassignArea_(1)</t>
  </si>
  <si>
    <t>CB_FindUsage_(1)
ReassignArea_(1)</t>
  </si>
  <si>
    <t>SetOverride_(1)
CB_UsedRange_(1)
IsPolygonDisplayed_(1)
DetermineFillArea_(1)
IsCellSelected_(1)
CB_LOG_(1)
CountInstancesInRange_(1)
Confirm_(1)
DoBackup_(1)
RecordRangeState_(1)
ClearOverride_(1)
UpdateCounts_(1)
PopulateSwatches_(1)</t>
  </si>
  <si>
    <t>FadeUnder_(1)
DarkUnder_(1)
Brite2Under_(1)</t>
  </si>
  <si>
    <t>MakeTestStrip_(1)
BrighterTest_(1)</t>
  </si>
  <si>
    <t>ExtractRGBValuesFromColor_(1)
ColorFromRGBValues_(1)</t>
  </si>
  <si>
    <t>ExtractRGBValuesFromColor_(1)
iMaxOf_(1)
ColorFromRGBValues_(1)</t>
  </si>
  <si>
    <t>Confirm_(1)
Fade_(1)</t>
  </si>
  <si>
    <t>CB_FadeAll_(1)
CB_FadeSelected_(1)</t>
  </si>
  <si>
    <t>Confirm_(1)
IsCellSelected_(1)
Fade_(1)</t>
  </si>
  <si>
    <t>CB_ColorCell_(1)
Fade_(1)</t>
  </si>
  <si>
    <t>ExtractRGBValuesFromColor_(1)
ColorFromRGBValues_(1)
Apply10x10Border_(1)</t>
  </si>
  <si>
    <t>CB_FindNext_(1)
FindNextError_(1)
CB_ZOOM_ON_SELECTED_(1)</t>
  </si>
  <si>
    <t>IsCellSelected_(1)
CB_LOG_(1)
UpdateDisplayedZoom_(1)
CenterSelectedCell_(1)</t>
  </si>
  <si>
    <t>ForceClearOverride_(1)
GetSysParmRange_(1)
ValidateDoUndo_(1)</t>
  </si>
  <si>
    <t>UnDoCounts_(1)
FindCellState_(1)
DumpCellState_(1)</t>
  </si>
  <si>
    <t>RecordRangeState_(1)
LogChange_(1)</t>
  </si>
  <si>
    <t>HandleCellSelection_(1)
CB_Initialize_Undo_(1)
CB_Update_Undo_Depth_(1)
LogChange_(1)
CB_UNDOIT_(1)</t>
  </si>
  <si>
    <t>SetOverride_(1)
SheetFromSheetAddr_(1)
RangeFromSheetAddr_(1)
ClearOverride_(1)
ValidateDoUndo_(1)</t>
  </si>
  <si>
    <t>ReturnRGBElementsFromCSV_(1)
ExtractRGBValuesFromColor_(1)
DistanceBetweenRGBValues_(1)</t>
  </si>
  <si>
    <t>GetSelectedListEntryInventoryLocation_(1)
SetSysParmValue_(1)</t>
  </si>
  <si>
    <t>HandleColorListSelection_(1)
DisplayColorAsTest_(1)
CB_AssignLightContrastingTextColor_(1)
CB_AssignDarkContrastingTextColor_(1)</t>
  </si>
  <si>
    <t>IsAlpha_(1)
ColorForChar_(1)
BW_TextColorForColor_(1)
HaveRandomMatrix_(1)</t>
  </si>
  <si>
    <t>DumpAddress_(1)
CB_LOG_(1)</t>
  </si>
  <si>
    <t>IsOverrideSet_(1)
StringTimeToMillisecond_(1)
StartLog_(1)</t>
  </si>
  <si>
    <t>ForceConfirm_(1)
RemoveBorders_(1)</t>
  </si>
  <si>
    <t>FlipIt_(1)
CreateNewPattern_(1)
ConfigureSheetForColorbox_(1)</t>
  </si>
  <si>
    <t>IsCellSelected_(1)
RefreshPolygonOutline_(1)
CutAndPasteEnableButtons_(1)</t>
  </si>
  <si>
    <t>SetCutAndPasteMode_(1)
RefreshPolygonOutline_(1)</t>
  </si>
  <si>
    <t>CBLP_StartCopy_(1)
CBLP_StartCut_(1)</t>
  </si>
  <si>
    <t>HaveValidPolygon_(1)
CutAndPasteEnableButtons_(1)
CBLP_EnableButtons_(1)</t>
  </si>
  <si>
    <t>CutAndPasteEnableButtons_(1)
RefreshPolygonOutline_(1)
CBLP_EnableButtons_(1)</t>
  </si>
  <si>
    <t>CBLP_GetTopRow_(1)
CBLP_GetLeftMostColumnInTopRow_(1)
GetShapeMode_(1)
DetermineFillArea_(1)
BuildLineSegmentRangeUnion_(1)
SetOverride_(1)
DoBackup_(1)
ClearOverride_(1)
ClearCutAndPaste_(1)</t>
  </si>
  <si>
    <t>IsFlashAreaEmpty_(1)
SetOverride_(1)
CB_ColorCell_(1)
ClearOverride_(1)</t>
  </si>
  <si>
    <t>IsFlashAreaEmpty_(1)
ClearButtonTimer_(1)
ColorForChar_(1)
ContrastingColorForText_(1)</t>
  </si>
  <si>
    <t>CB_RepaintDisplay_(1)
BuildFindFlashArea_(1)</t>
  </si>
  <si>
    <t>IsCellSelected_(1)
DisplayedCells_(1)
CB_LOG_(1)
AddToUnion_(1)
IsValidSymbol_(1)</t>
  </si>
  <si>
    <t>FlashInvalid_(1)
DisplayColorAsTest_(1)
ResetFlashArea_(1)
ReverseVideoFlashArea_(1)
ResetInvalidArea_(1)</t>
  </si>
  <si>
    <t>IsFlashAreaEmpty_(1)
CB_ColorCell_(1)</t>
  </si>
  <si>
    <t>Rebuild_aPolygon_(1)
DetermineFillArea_(1)</t>
  </si>
  <si>
    <t>CBDC_FlashCircleAction_(1)
CBDC_FlashCenterpoint_(1)
DisplayColorChangeAsTest_(1)
CBLP_FlashShape_(1)</t>
  </si>
  <si>
    <t>CBDC_FlashCircleAction_(1)
CBDC_FlashCenterpoint_(1)
DisplayColorAsTest_(1)
DisplayColorChangeAsTest_(1)
CBLP_FlashShape_(1)</t>
  </si>
  <si>
    <t>IsValidSymbol_(1)
ReturnRandomColorLetter_(1)
ColorForChar_(1)
DetermineFillArea_(1)
BuildLineSegmentRangeUnion_(1)
UseExternalFlashArea_(1)
FlashAreaWithColor_(1)</t>
  </si>
  <si>
    <t>SizeOfPointList_(1)
ReturnLineRangeUnion_(1)
AddToUnion_(1)</t>
  </si>
  <si>
    <t>CB_DoRepaintSelection_(1)
ReassignArea_(1)
CBLP_ExecuteCutPaste_(1)
GetCurrentPolygonRange_(1)
CBLP_FlashShape_(1)
CBLP_ColorRangeCore_(1)</t>
  </si>
  <si>
    <t>CBLP_ExecuteCutPaste_(1)
CBLP_FlashShape_(1)
CBLP_ColorRangeCore_(1)</t>
  </si>
  <si>
    <t>CBDC_AssignCircleColorAction_(1)
CBLP_ColorRangeCore_(1)</t>
  </si>
  <si>
    <t>RefreshPolygonOutline_(1)
DetermineFillArea_(1)
BuildLineSegmentRangeUnion_(1)
AssignRangeUnion_(1)</t>
  </si>
  <si>
    <t>CBLP_SetPastePoint_(1)
SetCutAndPasteMode_(1)
ClearCutAndPaste_(1)
CBLP_InitializeShapeMode_(1)</t>
  </si>
  <si>
    <t>CBLP_SetupSelectionMode_(1)
InitializeSymbolCache_(1)
ClearCutAndPaste_(1)
CutAndPasteEnableButtons_(1)
AreaEnableButtons_(1)</t>
  </si>
  <si>
    <t>ReturnLineRangeUnion_(1)
CreateCircleUnion_(1)
DisplayColorChangeAsTest_(1)
BuildFindFlashArea_(1)
BuildLineSegmentRangeUnion_(1)
DetermineFillArea_(1)</t>
  </si>
  <si>
    <t>SizeOfPointList_(1)
IsPointInsidePolygon_(1)
AddToUnion_(1)</t>
  </si>
  <si>
    <t>IsAlpha_(1)
ColorNameForLetter_(1)
HaveRandomMatrix_(1)
IsCutAndPasteActive_(1)
IsCellSelected_(1)
SizeOfPointList_(1)</t>
  </si>
  <si>
    <t>CBLP_MarkSelection_(1)
RefreshPolygonOutline_(1)
CBLP_EnableButtons_(1)</t>
  </si>
  <si>
    <t>GetCurrentPolygonRange_(1)
RefreshPolygonOutline_(1)</t>
  </si>
  <si>
    <t>Rebuild_aPolygon_(1)
DrawPolygonOutline_(1)
DisplayPolygonExtent_(1)</t>
  </si>
  <si>
    <t>GetPastePointRow_(1)
GetPastePointCol_(1)
SetOverride_(1)
ClearArrows_(1)
ClearPolygonCorners_(1)
CBLP_MarkSelection_(1)
GetBoundaryColor_(1)
DrawArrows_(1)
ToFromEnableButtons_(1)
AreaEnableButtons_(1)
ClearOverride_(1)</t>
  </si>
  <si>
    <t>SetOverride_(1)
ClearOverride_(1)</t>
  </si>
  <si>
    <t>HandleCellSelection_(1)
CBLP_InitializeShapeMode_(1)
DrawPolygonOutline_(1)
ClearPolygonCorners_(1)</t>
  </si>
  <si>
    <t>SizeOfPointList_(1)
SetOverride_(1)
CBLP_UnmarkSelection_(1)
AreaEnableButtons_(1)
ToFromEnableButtons_(1)
ClearOverride_(1)</t>
  </si>
  <si>
    <t>CBLP_UnmarkSelection_(1)
CBLP_MarkSelection_(1)
SizeOfPointList_(1)
RefreshPolygonOutline_(1)</t>
  </si>
  <si>
    <t>ClearPolygonCorners_(1)
NudgePoint_(1)
CBLP_InsertHalfwayPoint_(1)</t>
  </si>
  <si>
    <t>CBLP_UnmarkSelection_(1)
RefreshPolygonOutline_(1)
CBLP_EnableButtons_(1)</t>
  </si>
  <si>
    <t>HaveValidPolygon_(1)
BuildLineSegmentRangeUnion_(1)
DetermineFillArea_(1)
CBLP_EnableButtons_(1)
ClearPolygonCorners_(1)
NudgePoint_(1)
Rebuild_aPolygon_(1)
DisplayPolygonExtent_(1)
DumpaPolygon_(1)</t>
  </si>
  <si>
    <t>IsCellSelected_(1)
CBLP_MarkSelection_(1)
RefreshPolygonOutline_(1)</t>
  </si>
  <si>
    <t>EnterPolygonPtMode_(1)
ExitPolygonPtMode_(1)</t>
  </si>
  <si>
    <t>SetShapeMode_(1)
EnterPolygonPtMode_(1)
RefreshPolygonOutline_(1)
CBLP_EnableButtons_(1)</t>
  </si>
  <si>
    <t>ChangePolygonPtMode_(1)
CBLP_SetupPolygonMode_(1)
CBLP_SetupLineMode_(1)</t>
  </si>
  <si>
    <t>SetShapeMode_(1)
EnterPolygonPtMode_(1)
CBLP_EnableButtons_(1)
RefreshPolygonOutline_(1)</t>
  </si>
  <si>
    <t>CBLP_SetupPolygonMode_(1)
CBLP_SetupLineMode_(1)
CBLP_SetupSelectionMode_(1)</t>
  </si>
  <si>
    <t>ProcessMultiPageSelection_(1)
ChangePolygonPtMode_(1)
CBLP_SetupSelectionMode_(1)</t>
  </si>
  <si>
    <t>HandleCellSelection_(1)
CBLP_SetupSelectionMode_(1)</t>
  </si>
  <si>
    <t>SetShapeMode_(1)
ExitPolygonPtMode_(1)
CBLP_Build_aPolygonForSelectedArea_(1)
RefreshPolygonOutline_(1)
CBLP_EnableButtons_(1)</t>
  </si>
  <si>
    <t>CB_ColorCell_(1)
RefreshPolygonOutline_(1)
CBLP_EnableButtons_(1)</t>
  </si>
  <si>
    <t>CBLP_AddPointToListEnd_(1)
DrawPolygonOutline_(1)
NudgePoint_(1)
CBLP_Build_aPolygonForSelectedArea_(1)
DriveIntersect_(1)</t>
  </si>
  <si>
    <t>DrawPolygonOutline_(1)
DriveIntersect_(1)</t>
  </si>
  <si>
    <t>DetermineFillArea_(1)
DriveIntersect_(1)</t>
  </si>
  <si>
    <t>XforPt_(1)
YforPt_(1)
CBLP_MarkSelection_(1)
DrawArrows_(1)
IsPointInsidePolygon_(1)</t>
  </si>
  <si>
    <t>ReturnLineRangeUnion_(1)
IsPointInsidePolygon_(1)</t>
  </si>
  <si>
    <t>NextPoint_(1)
DistanceFromPointToLineSegment_(1)
ONLINE_(1)
NextIndex_(1)
GetDirection_(1)
PrevIndex_(1)
LinesIntersect_(1)</t>
  </si>
  <si>
    <t>IsPointInsidePolygon_(1)
LinesIntersect_(1)</t>
  </si>
  <si>
    <t>GetDirection_(1)
ONLINE_(1)</t>
  </si>
  <si>
    <t>MIN_(1)
XforPt_(1)
MAX_(1)
YforPt_(1)</t>
  </si>
  <si>
    <t>DriveIntersect_(1)
ONLINE_(1)
GetDirection_(1)</t>
  </si>
  <si>
    <t>XforPt_(1)
YforPt_(1)</t>
  </si>
  <si>
    <t>AssignRangeUnion_(1)
CBLP_FlashShape_(1)
RandomDriver_(1)</t>
  </si>
  <si>
    <t>HaveRandomMatrix_(1)
HandleDynamicTextboxUpdate_(1)</t>
  </si>
  <si>
    <t>ColorTextBox_(1)
PopulateRandomColorDictionary_(1)
CBLP_EnableButtons_(1)
ColorInvalid2DigitNumericTextbox_(1)</t>
  </si>
  <si>
    <t>SheetSwatchCharacterIndex_(1)
CB_UsedRange_(1)
PopulateInventory_(1)</t>
  </si>
  <si>
    <t>CB_HandleCellUpdate_(1)
CB_ShowCellValue_(1)
HandleCellSelection_(1)
ColorBoxMainDriver_(1)</t>
  </si>
  <si>
    <t>CB_ApplyCellSize_(1)
ColorBoxMainDriver_(1)</t>
  </si>
  <si>
    <t>CB_FindUsage_(1)
CB_FindNext_(1)
CB_ZOOM_ON_SELECTED_(1)
ColorBoxMainDriver_(1)</t>
  </si>
  <si>
    <t>CB_DoRepaint_(1)
SetupPatternCode_(1)
ColorBoxMainDriver_(1)</t>
  </si>
  <si>
    <t>ChangeSelectedLetter_(1)
ColorBoxMainDriver_(1)</t>
  </si>
  <si>
    <t>AssignRangeUnion_(1)
HandleCellSelection_(1)
CB_ColorSelectedArea_(1)
ReassignArea_(1)
ColorBoxMainDriver_(1)</t>
  </si>
  <si>
    <t>SetCBDC_ColALpha_(1)
SetupConstants_(1)</t>
  </si>
  <si>
    <t>HandleCellSelection_(1)
ChangeSelectedLetter_(1)
OBEHandleSelectedColorUpdate_(1)
HandleColorListSelection_(1)
ColorBoxMainDriver_(1)
PopulateColorList_(1)</t>
  </si>
  <si>
    <t>InventoryDescriptionIndexRange_(1)
SelectedRGB_(1)
SelectedColor_(1)
NameMeetsPrefixFilter_(1)
CBSC_EnableButtons_(1)</t>
  </si>
  <si>
    <t>CurrentSelectColorOffset_(1)
SheetSwatchCharacterIndex_(1)</t>
  </si>
  <si>
    <t>SelectedRGB_(1)
SelectedColor_(1)</t>
  </si>
  <si>
    <t>SheetSwatchCharacterIndex_(1)
CurrentSelectColorOffset_(1)</t>
  </si>
  <si>
    <t>CB_MakeColorAssignment_(1)
CB_SwapLetters_(1)
CurrentSelectColorOffset_(1)</t>
  </si>
  <si>
    <t>clsDynamicLabel.labelEvents_Click</t>
  </si>
  <si>
    <t>clsDynamicLabel.labelEvents_Click_(1)</t>
  </si>
  <si>
    <t>clsDynamicLabel.labelEvents_DblClick</t>
  </si>
  <si>
    <t>clsDynamicLabel.labelEvents_DblClick_(1)</t>
  </si>
  <si>
    <t>clsMyTextBox.TB_Events_Change</t>
  </si>
  <si>
    <t>clsMyTextBox.TB_Events_Change_(1)</t>
  </si>
  <si>
    <t>clsCellState.Init</t>
  </si>
  <si>
    <t>clsCellState.Init_(1)</t>
  </si>
  <si>
    <t>clsCellState.Dump</t>
  </si>
  <si>
    <t>clsCellState.Dump_(1)</t>
  </si>
  <si>
    <t>clsCellChange.Init</t>
  </si>
  <si>
    <t>clsCellChange.Init_(1)</t>
  </si>
  <si>
    <t>clsStack.Clear</t>
  </si>
  <si>
    <t>clsStack.Clear_(1)</t>
  </si>
  <si>
    <t>clsStack.Push</t>
  </si>
  <si>
    <t>clsStack.Push_(1)</t>
  </si>
  <si>
    <t>clsStack.Pop</t>
  </si>
  <si>
    <t>clsStack.Pop_(1)</t>
  </si>
  <si>
    <t>clsDynamicOptionButton.butEvents_Click</t>
  </si>
  <si>
    <t>clsDynamicOptionButton.butEvents_Click_(1)</t>
  </si>
  <si>
    <t>clsDynamicOptionButton.butEvents_DblClick</t>
  </si>
  <si>
    <t>clsDynamicOptionButton.butEvents_DblClick_(1)</t>
  </si>
  <si>
    <t>CB_FIND_LETTERS_Click</t>
  </si>
  <si>
    <t>CB_FIND_LETTERS_Click_(1)</t>
  </si>
  <si>
    <t>CB_HIDE_AREA_LETTERS_Click</t>
  </si>
  <si>
    <t>CB_HIDE_AREA_LETTERS_Click_(1)</t>
  </si>
  <si>
    <t>CB_SHOW_AREA_LETTERS_Click</t>
  </si>
  <si>
    <t>CB_SHOW_AREA_LETTERS_Click_(1)</t>
  </si>
  <si>
    <t>DisplayLettersAroundSelectedCell</t>
  </si>
  <si>
    <t>DisplayLettersAroundSelectedCell_(1)</t>
  </si>
  <si>
    <t>PutLettersInArea</t>
  </si>
  <si>
    <t>(bShowLetters As Boolean)</t>
  </si>
  <si>
    <t>PutLettersInArea_(1)</t>
  </si>
  <si>
    <t xml:space="preserve"> user wants to see the letters around the selected cell(s)</t>
  </si>
  <si>
    <t xml:space="preserve"> the user wants letters in the selected area hiddent</t>
  </si>
  <si>
    <t>CB_LOG_(1)
PutLettersInArea_(1)</t>
  </si>
  <si>
    <t xml:space="preserve"> the user wants to see letters in the selected area</t>
  </si>
  <si>
    <t>IsCellSelected_(1)
ContrastingColorForText_(1)</t>
  </si>
  <si>
    <t>COLORBOX_LEFTBANK_1_3.bas</t>
  </si>
  <si>
    <r>
      <t>1_3</t>
    </r>
    <r>
      <rPr>
        <sz val="10"/>
        <color rgb="FF000000"/>
        <rFont val="Calibri"/>
        <family val="2"/>
        <scheme val="minor"/>
      </rPr>
      <t xml:space="preserve">  1_2a  1_2  1_1  1_0</t>
    </r>
  </si>
  <si>
    <r>
      <t>01/22/24</t>
    </r>
    <r>
      <rPr>
        <sz val="10"/>
        <color theme="1"/>
        <rFont val="Calibri"/>
        <family val="2"/>
        <scheme val="minor"/>
      </rPr>
      <t xml:space="preserve"> 01/10/24 12/20/23 12/11/23 11/1/2023</t>
    </r>
  </si>
  <si>
    <t>ShowColorboxBusy</t>
  </si>
  <si>
    <t>ShowColorboxBusy_(1)</t>
  </si>
  <si>
    <t>ClearColorBoxBusy</t>
  </si>
  <si>
    <t>ClearColorBoxBusy_(1)</t>
  </si>
  <si>
    <t>ShowColorboxBusy_(1)
SetOverride_(1)
ColorNameForLetter_(1)
CB_LOG_(1)
SheetSwatchCharacterIndex_(1)
SheetSwatchOffsetForLetter_(1)
CB_UsedRange_(1)
UpdateCounts_(1)
ClearOverride_(1)
PopulateSwatches_(1)
CB_RepaintColor_(1)
ClearColorBoxBusy_(1)</t>
  </si>
  <si>
    <t>RestoreFromFile_(1)
FlipIt_(1)
CB_HandleCellUpdate_(1)
HandleCellSelection_(1)
ForceResetAllOverrides_(1)
ColorBoxMainDriver_(1)
CB_Initialize_Undo_(1)</t>
  </si>
  <si>
    <t>C:\Users\jandy\Documents\ColorboxHelpFile_1_4_0.pdf</t>
  </si>
  <si>
    <t>COLORBOX_VECTOR_MATH_1_1.bas</t>
  </si>
  <si>
    <t xml:space="preserve"> worksheet test version of RGBAngle
 not used by operational code</t>
  </si>
  <si>
    <t>DumpUndoQueue_(1)
SetSysParmValue_(1)
CB_LOG_(1)
ValidateDoUndo_(1)</t>
  </si>
  <si>
    <r>
      <t>01/23/24</t>
    </r>
    <r>
      <rPr>
        <sz val="10"/>
        <color theme="1"/>
        <rFont val="Calibri"/>
        <family val="2"/>
        <scheme val="minor"/>
      </rPr>
      <t xml:space="preserve"> 11/9/2023</t>
    </r>
  </si>
  <si>
    <t xml:space="preserve"> colors the background of the color box the busy color. Saves off old color for recovery</t>
  </si>
  <si>
    <t xml:space="preserve"> resets the colorbox background to its old (original) color</t>
  </si>
  <si>
    <t xml:space="preserve"> shows the letters in range around the current selected area</t>
  </si>
  <si>
    <t xml:space="preserve"> shows the letters in the current selected area (True shows them, false removes them)</t>
  </si>
  <si>
    <t>COLORBOX_FLIP_2_3.bas</t>
  </si>
  <si>
    <t>COLORBOX_POLYGON_RANDOM_1_2.bas</t>
  </si>
  <si>
    <t>COLORBOX_PRINTER</t>
  </si>
  <si>
    <t>COLORBOX_TIME_1_1a.bas</t>
  </si>
  <si>
    <t>1_1a</t>
  </si>
  <si>
    <t>CB_ExpandRow</t>
  </si>
  <si>
    <t>CB_ExpandRow_(1)</t>
  </si>
  <si>
    <t>(objtextBox As MSForms.TextBox)</t>
  </si>
  <si>
    <t>CB_PRINT_LEGEND_Click</t>
  </si>
  <si>
    <t>CB_PRINT_LEGEND_Click_(1)</t>
  </si>
  <si>
    <t>CB_REPORT_PRINT_Click</t>
  </si>
  <si>
    <t>CB_REPORT_PRINT_Click_(1)</t>
  </si>
  <si>
    <t>CB_PrintTextBox</t>
  </si>
  <si>
    <t>CB_PrintTextBox_(1)</t>
  </si>
  <si>
    <t>PrintLegend</t>
  </si>
  <si>
    <t>PrintLegend_(1)</t>
  </si>
  <si>
    <t>BUSTEDCB_PrintTextBox</t>
  </si>
  <si>
    <t>BUSTEDCB_PrintTextBox_(1)</t>
  </si>
  <si>
    <t>FindOrCreateWorksheet</t>
  </si>
  <si>
    <t>FindOrCreateWorksheet_(1)</t>
  </si>
  <si>
    <t>SetOverride_(1)
CB_LOG_(1)
ReturnRandomColorLetter_(1)
ReturnSequenceColorLetter_(1)
RecordRangeState_(1)
CB_ColorCell_(1)
ClearOverride_(1)</t>
  </si>
  <si>
    <t>&lt;none&gt;</t>
  </si>
  <si>
    <t>FlipIt_(1)
CB_APPLY_CELL_SIZE_Click_(1)</t>
  </si>
  <si>
    <t>CB_HandleCellUpdate_(1)
HandleCellSelection_(1)
ColorBoxMainDriver_(1)
CB_CLEAR_HISTORY_Click_(1)</t>
  </si>
  <si>
    <t xml:space="preserve"> user wants to print the legend page</t>
  </si>
  <si>
    <t>CB_LOG_(1)
PrintLegend_(1)</t>
  </si>
  <si>
    <t>ColorBoxMainDriver_(1)
CB_HIDE_UNUSED_SWATCHES_Click_(1)</t>
  </si>
  <si>
    <t>ColorBoxMainDriver_(1)
CB_PREFIX_Change_(1)</t>
  </si>
  <si>
    <t>CB_SwapLetters_(1)
CB_REPAINT_CHAR_Click_(1)</t>
  </si>
  <si>
    <t xml:space="preserve"> user request to print the report box contents</t>
  </si>
  <si>
    <t>CB_LOG_(1)
CB_PrintTextBox_(1)</t>
  </si>
  <si>
    <t>ColorBoxMainDriver_(1)
CBLP_ADD_POINT_Click_(1)</t>
  </si>
  <si>
    <t>CBLP_ExecuteCutPaste_(1)
CBLP_InitializeShapeMode_(1)
CBLP_CUT_CANCEL_Click_(1)</t>
  </si>
  <si>
    <t>SaveBackupIfTime_(1)
ReassignArea_(1)
CBLP_ExecuteCutPaste_(1)
CB_BACKUP_NOW_Click_(1)</t>
  </si>
  <si>
    <t>CB_UpdateGridSize_(1)
CB_DRAW10BY10_Click_(1)</t>
  </si>
  <si>
    <t>HandleCellSelection_(1)
ColorBoxMainDriver_(1)
CB_FIND_TARGET_Change_(1)</t>
  </si>
  <si>
    <t>CNC_DeleteExistingColorName_(1)
CBDC_AssignCircleColorAction_(1)
CreateNewPattern_(1)
MirrorSelectionRight_(1)
MirrorSelectionDown_(1)
CB_ClearSelection_(1)
CB_ColorSelectedArea_(1)
ReassignArea_(1)
CB_FadeAll_(1)
CB_FadeSelected_(1)
CB_ALL_REASSIGN_Click_(1)
CB_REPAINT_Click_(1)</t>
  </si>
  <si>
    <t>ExitPolygonPtMode_(1)
ColorBoxMainDriver_(1)
CB_EXIT_Click_(1)
CB_RESET_Click_(1)</t>
  </si>
  <si>
    <t>HandleCellSelection_(1)
DrawPolygonOutline_(1)
ClearPolygonCorners_(1)
ColorBoxMainDriver_(1)
CB_FROM_SYMBOL_Change_(1)
CB_TO_SYMBOL_Change_(1)</t>
  </si>
  <si>
    <t>CBLP_InitializeShapeMode_(1)
CBLP_SELECTED_AREA_Click_(1)</t>
  </si>
  <si>
    <t>HandleDynamicTextboxUpdate_(1)
CBDC_CIRCLE_SYMBOL_Change_(1)</t>
  </si>
  <si>
    <t>FlashInvalid_(1)
DisplayColorAsTest_(1)
DisplayColorChangeAsTest_(1)
ReverseVideoFlashArea_(1)
CB_FIND_FLASH_AREA_MouseUp_(1)
CB_FLASH_CHANGE_MouseUp_(1)
CB_FLASH_INVALID_MouseUp_(1)
CB_FIND_FLASH_MouseUp_(1)
CB_FIND_FLASH_OTHERS_MouseUp_(1)
CBSC_FLASH_COLOR_MouseUp_(1)
CBSC_TEST_COLOR_MouseUp_(1)
CBLP_FLASH_AREA_MouseUp_(1)
CBDC_FLASH_CENTER_MouseUp_(1)
CBDC_FLASH_CIRCLE_Mouseup_(1)</t>
  </si>
  <si>
    <t>ColorBoxMainDriver_(1)
CB_ALTERNATE_DISTANCE_LIST_change_(1)
COLORLIST_Click_(1)</t>
  </si>
  <si>
    <t>CB_EndSelection_(1)
HandleCellSelection_(1)
CB_ClearSelection_(1)
DrawPolygonOutline_(1)
ColorBoxMainDriver_(1)
CBLP_REMOVE_MARKERS_Click_(1)
CBLP_RESTART_Click_(1)</t>
  </si>
  <si>
    <t>CB_EndSelection_(1)
HandleCellSelection_(1)
DrawPolygonOutline_(1)
CBLP_RESTART_Click_(1)</t>
  </si>
  <si>
    <t>SetCutAndPasteMode_(1)
ClearCutAndPaste_(1)
CBLP_AddPointToListEnd_(1)
CBLP_InsertHalfwayPoint_(1)
CBLP_SetupPolygonMode_(1)
CBLP_SetupLineMode_(1)
CBLP_SetupSelectionMode_(1)
CBLP_RemovePoint_(1)
CBLP_PointListItemClicked_(1)
SetUpRandomPanel_(1)
HandleDynamicTextboxUpdate_(1)
CBLP_SYMBOL_Change_(1)
CBLP_ADD_POINT_AFTER_Click_(1)
CBLP_DELETE_POINT_Click_(1)
CBLP_RESTART_Click_(1)</t>
  </si>
  <si>
    <t>CBLP_SetPastePoint_(1)
CBLP_StartCopy_(1)
CBLP_StartCut_(1)
ClearCutAndPaste_(1)
CBLP_ColorRangeCore_(1)
CBLP_AddPointToListEnd_(1)
NudgePoint_(1)
CBLP_InsertHalfwayPoint_(1)
CBLP_Build_aPolygonForSelectedArea_(1)
CBLP_SetupPolygonMode_(1)
CBLP_SetupLineMode_(1)
CBLP_SetupSelectionMode_(1)
CBLP_RemovePoint_(1)
CBLP_CUT_CANCEL_Click_(1)
CBLP_REDRAW_Click_(1)
CBDA_SHOW_BOUNDARY_Click_(1)
CPDA_SHOW_BOUNDARY_Click_(1)</t>
  </si>
  <si>
    <t xml:space="preserve"> Prints the contents of a text box.</t>
  </si>
  <si>
    <t xml:space="preserve"> sends the legend page to the printer</t>
  </si>
  <si>
    <t>CB_ALPHABET_USAGE_AREA_Click_(1)
CB_ALPHABET_USAGE_COMMAND_Click_(1)
PrintLegend_(1)</t>
  </si>
  <si>
    <t>CB_UpdateLegendSheet_(1)
FindOrCreateWorksheet_(1)
ReportAlphaBetUsage_(1)
CB_ExpandRow_(1)</t>
  </si>
  <si>
    <t xml:space="preserve"> currently only sends stuff to onenote !</t>
  </si>
  <si>
    <t>CB_AutoSelect_(1)
HandleOptionSelection_(1)
HandleOptionDblClick_(1)
CB_MakeColorAssignment_(1)
InititalizeSwatchAndChar_(1)</t>
  </si>
  <si>
    <t>UpdateNameInSwatches_(1)
CB_MakeColorAssignment_(1)
CB_SwapLetters_(1)
ReassignArea_(1)
ColorBoxMainDriver_(1)
CB_HIDE_UNUSED_SWATCHES_Click_(1)
CB_SHOW_NAMES_IN_SWATCH_Click_(1)
CB_RefreshCount_Click_(1)
CB_MoveSwatch_(1)</t>
  </si>
  <si>
    <t>PopulateColorList_(1)
UpdateClosestDefinedColors_(1)</t>
  </si>
  <si>
    <t>CB_AutoSelect_(1)
CB_HandleCellUpdate_(1)
HandleCellSelection_(1)
ChangeSelectedLetter_(1)
HandleColorListSelection_(1)
CB_LOG_(1)
LogChange_(1)
CB_ALTERNATE_DISTANCE_LIST_change_(1)
CB_APPLY_CELL_SIZE_Click_(1)
CB_AUTO_SELECT_Change_(1)
CB_DISABLE_CONFIRM_Click_(1)
CB_HIDE_UNUSED_SWATCHES_Click_(1)
CB_LIMIT_NAMES_Click_(1)
CB_PREFIX_Change_(1)
CB_SHOW_NAMES_IN_SWATCH_Click_(1)
CB_ShowLetters_Change_(1)
CB_UNDO_DEPTH_AfterUpdate_(1)
CBSC_ASSIGN_COLOR_Click_(1)
CB_CELL_SIZE_Change_(1)
CB_MIXER_RED_VALUE_Change_(1)
CB_MIXER_GREEN_VALUE_Change_(1)
CB_MIXER_BLUE_VALUE_Change_(1)
CB_MIXER_RED_VALUE_AfterUpdate_(1)
CB_MIXER_GREEN_VALUE_AfterUpdate_(1)
CB_MIXER_BLUE_VALUE_AfterUpdate_(1)
COLORLIST_Click_(1)
ChangeColorDistanceMethod_(1)
UpdateClosestDefinedColors_(1)
PopulateMixerArray_(1)
CB_MIXER_CHANGE_COLOR_(1)</t>
  </si>
  <si>
    <t>HandleColorListSelection_(1)
CB_MIXER_CHANGE_COLOR_(1)</t>
  </si>
  <si>
    <t>CBS_UpdateMixer_(1)
HandleColorListSelection_(1)
CB_MATRIX_SPINNER_SpinUp_(1)
CB_MATRIX_SPINNER_SpinDown_(1)
CB_MIXER_CHANGE_COLOR_(1)</t>
  </si>
  <si>
    <t>CBS_UpdateMixer_(1)
CNC_DeleteExistingColorName_(1)
CNC_UpdateExistingColorForName_(1)
ChangeSelectedLetter_(1)
HandleOptionSelection_(1)
HandleOptionDblClick_(1)
ColorBoxMainDriver_(1)
CB_MIXER_LT_SPINNER_SpinUp_(1)
CB_MIXER_LT_SPINNER_SpinDown_(1)
CB_MIXER_RED_SPIN_SpinUp_(1)
CB_MIXER_RED_SPIN_SpinDown_(1)
CB_MIXER_GREEN_SPIN_SpinUp_(1)
CB_MIXER_GREEN_SPIN_SpinDown_(1)
CB_MIXER_BLUE_SPIN_SpinUp_(1)
CB_MIXER_BLUE_SPIN_SpinDown_(1)
CB_MIXER_RED_VALUE_AfterUpdate_(1)
CB_MIXER_GREEN_VALUE_AfterUpdate_(1)
CB_MIXER_BLUE_VALUE_AfterUpdate_(1)
ChangeColorDistanceMethod_(1)
HandleColorLabelSelection_(1)
HandleLabelDblClick_(1)</t>
  </si>
  <si>
    <t>HandleOptionDblClick_(1)
CB_COLOR_MIXER_DblClick_(1)
CB_RGB_CALCULATED_Click_(1)
CNC_DOUBLE_CLICK_PROMPT_Click_(1)
HandleLabelDblClick_(1)</t>
  </si>
  <si>
    <t>UpdateCurrentLetter_(1)
CBSC_EnableButtons_(1)
PopulateSwatches_(1)
CB_UpdateLegendSheet_(1)</t>
  </si>
  <si>
    <t>FindOrCreateWorksheet_(1)
LetterUsageCount_(1)
ColorNameForLetter_(1)
ColorForChar_(1)
BW_TextColorForColor_(1)</t>
  </si>
  <si>
    <t>UpdateNameInSwatches_(1)
HandleOptionSelection_(1)
HandleOptionDblClick_(1)
ColorBoxMainDriver_(1)
CB_LIMIT_NAMES_Click_(1)
CBSC_COLOR_FILTER_Change_(1)
CBSC_FAMILY_FILTER_Change_(1)
HandleColorLabelSelection_(1)
CB_ValidatePrefix_(1)</t>
  </si>
  <si>
    <t>GetRestoreFilename_(1)
FlipIt_(1)
SetupPatternCode_(1)
ClearBeyondPatternEdges_(1)</t>
  </si>
  <si>
    <t>ReportAlphaBetUsage_(1)
CB_DoRepaint_(1)
CB_RepaintColor_(1)
CB_FindUsage_(1)
CB_FindNext_(1)
FindNextError_(1)
CB_SwapLetters_(1)
ReassignArea_(1)
UpdateCounts_(1)
DumpUsedRanges_(1)
DisplayedCells_(1)</t>
  </si>
  <si>
    <t xml:space="preserve"> returns the handle of a worksheet. Creates the sheet if it does not exist</t>
  </si>
  <si>
    <r>
      <t>2_3</t>
    </r>
    <r>
      <rPr>
        <sz val="10"/>
        <color rgb="FF000000"/>
        <rFont val="Calibri"/>
        <family val="2"/>
        <scheme val="minor"/>
      </rPr>
      <t xml:space="preserve">  2_2  2_1  2_0  1_8  1_7  1_6  1_5  1_4  1_3</t>
    </r>
  </si>
  <si>
    <r>
      <t>01/25/24</t>
    </r>
    <r>
      <rPr>
        <sz val="10"/>
        <color theme="1"/>
        <rFont val="Calibri"/>
        <family val="2"/>
        <scheme val="minor"/>
      </rPr>
      <t xml:space="preserve"> 01/23/24 01/12/24 01/10/24 01/09/24 01/01/24 12/24/23 12/23/23 12/09/23 10/16/2023</t>
    </r>
  </si>
  <si>
    <r>
      <t>1_2</t>
    </r>
    <r>
      <rPr>
        <sz val="10"/>
        <color rgb="FF000000"/>
        <rFont val="Calibri"/>
        <family val="2"/>
        <scheme val="minor"/>
      </rPr>
      <t xml:space="preserve">  1_0</t>
    </r>
  </si>
  <si>
    <r>
      <t>01/25/24</t>
    </r>
    <r>
      <rPr>
        <sz val="10"/>
        <color theme="1"/>
        <rFont val="Calibri"/>
        <family val="2"/>
        <scheme val="minor"/>
      </rPr>
      <t xml:space="preserve"> 12/28/2023</t>
    </r>
  </si>
  <si>
    <r>
      <t>1_1a</t>
    </r>
    <r>
      <rPr>
        <sz val="10"/>
        <color rgb="FF000000"/>
        <rFont val="Calibri"/>
        <family val="2"/>
        <scheme val="minor"/>
      </rPr>
      <t xml:space="preserve">  1_1  1_0A  1_0</t>
    </r>
  </si>
  <si>
    <r>
      <t>01/25/24</t>
    </r>
    <r>
      <rPr>
        <sz val="10"/>
        <color theme="1"/>
        <rFont val="Calibri"/>
        <family val="2"/>
        <scheme val="minor"/>
      </rPr>
      <t xml:space="preserve"> 01/24/24 12/17/23 10/5/2023</t>
    </r>
  </si>
  <si>
    <t>2_7</t>
  </si>
  <si>
    <t>COLORBOX_PRINTER_1_1.bas</t>
  </si>
  <si>
    <t>GetLocalOneDrivePath</t>
  </si>
  <si>
    <t>CBS_CLOSE_Click</t>
  </si>
  <si>
    <t>CBH_CLOSE_Click</t>
  </si>
  <si>
    <t>TranslateLeftSourceHexClosestColor</t>
  </si>
  <si>
    <t>DRIVIT</t>
  </si>
  <si>
    <t>DRIVIT_(1)</t>
  </si>
  <si>
    <t>CSVFromColorName</t>
  </si>
  <si>
    <t>ReturnRGBElementsFromCSV</t>
  </si>
  <si>
    <t>CSV_StringFromColor</t>
  </si>
  <si>
    <t>MSoftColorValueFromCSV</t>
  </si>
  <si>
    <t>ClosestRGBNameColor</t>
  </si>
  <si>
    <t>CSV_StringFromColorValues</t>
  </si>
  <si>
    <t>UpdateClosestDefinedColors</t>
  </si>
  <si>
    <t>UpdateClosestLabel</t>
  </si>
  <si>
    <t>SetUpClosestColorArrays</t>
  </si>
  <si>
    <t>GetLocalPath</t>
  </si>
  <si>
    <t>(ByVal path As String, _
Optional ByVal returnAll As Boolean = False, _
Optional ByVal preferredMountPointOwner As String = "", _
Optional ByVal rebuildCache As Boolean = False) _</t>
  </si>
  <si>
    <t>GetLocalPath_(1)</t>
  </si>
  <si>
    <t xml:space="preserve"> makes the row containing the current cell(s) tall enought to fit the text, unless it hits the excel limits.</t>
  </si>
  <si>
    <t>PopulateSwatches_(1)
PrintLegend_(1)</t>
  </si>
  <si>
    <t>CB_UpdateLegendSheet_(1)
CB_PrintTextBox_(1)
PrintLegend_(1)</t>
  </si>
  <si>
    <r>
      <t>1_1</t>
    </r>
    <r>
      <rPr>
        <sz val="10"/>
        <color rgb="FF000000"/>
        <rFont val="Calibri"/>
        <family val="2"/>
        <scheme val="minor"/>
      </rPr>
      <t xml:space="preserve">  1_0A  1_0</t>
    </r>
  </si>
  <si>
    <r>
      <t>01/27/24</t>
    </r>
    <r>
      <rPr>
        <sz val="10"/>
        <color theme="1"/>
        <rFont val="Calibri"/>
        <family val="2"/>
        <scheme val="minor"/>
      </rPr>
      <t xml:space="preserve"> 01/25/24 1/25/2024</t>
    </r>
  </si>
  <si>
    <t>AskQuestionForTrueFalse</t>
  </si>
  <si>
    <t>(sQuest As String) As Boolean</t>
  </si>
  <si>
    <t>AskQuestionForTrueFalse_(1)</t>
  </si>
  <si>
    <t>(sQuest As String, Optional Button1Text As String = "Yes", Optional Button2Text As String = "No") As String</t>
  </si>
  <si>
    <t>ForceConfirm_(1)
driver_(1)
AskQuestionForTrueFalse_(1)</t>
  </si>
  <si>
    <t>black-grey</t>
  </si>
  <si>
    <t>HSV</t>
  </si>
  <si>
    <t>Hue</t>
  </si>
  <si>
    <t>Sat</t>
  </si>
  <si>
    <t>herOrange
014, 80.2, 99.2</t>
  </si>
  <si>
    <t>herLightOrange
025, 79.2, 100.0</t>
  </si>
  <si>
    <t>herSalmon
014, 52.8, 96.5</t>
  </si>
  <si>
    <t>herPink
342, 31.0, 100.0</t>
  </si>
  <si>
    <t>herPalePeach
022, 25.1, 100.0</t>
  </si>
  <si>
    <t>herPalePink
359, 20.4, 100.0</t>
  </si>
  <si>
    <t>herWhite
000, 0.0, 100.0</t>
  </si>
  <si>
    <t>herBrightRed
357, 82.0, 85.1</t>
  </si>
  <si>
    <t>herMediumGold
030, 72.2, 92.9</t>
  </si>
  <si>
    <t>herDarkPink
342, 63.4, 93.3</t>
  </si>
  <si>
    <t>herLightStraw
028, 56.1, 89.4</t>
  </si>
  <si>
    <t>herRed
003, 80.2, 75.3</t>
  </si>
  <si>
    <t>herBurntOrange
017, 82.9, 84.7</t>
  </si>
  <si>
    <t>herDarkRose
342, 79.1, 78.8</t>
  </si>
  <si>
    <t>herRose
353, 45.9, 82.0</t>
  </si>
  <si>
    <t>herDarkTan
018, 50.0, 83.1</t>
  </si>
  <si>
    <t>herDarkCoral
006, 69.4, 72.9</t>
  </si>
  <si>
    <t>herBronze
022, 71.3, 69.8</t>
  </si>
  <si>
    <t>herLightRose
349, 38.7, 74.9</t>
  </si>
  <si>
    <t>herDarkRed
351, 75.5, 57.6</t>
  </si>
  <si>
    <t>herTerraCotta
014, 67.6, 56.9</t>
  </si>
  <si>
    <t>herMediumBrown
022, 54.6, 59.6</t>
  </si>
  <si>
    <t>herMediumGrey
000, 0.0, 58.0</t>
  </si>
  <si>
    <t>herBurgundy
343, 73.7, 46.3</t>
  </si>
  <si>
    <t>herRosewood
009, 45.0, 51.4</t>
  </si>
  <si>
    <t>herBrass
026, 38.5, 51.0</t>
  </si>
  <si>
    <t>herBrown
015, 67.4, 36.1</t>
  </si>
  <si>
    <t>herMahogany
015, 69.0, 44.3</t>
  </si>
  <si>
    <t>herCoffee
011, 63.5, 29.0</t>
  </si>
  <si>
    <t>herBlack
000, 0.0, 0.0</t>
  </si>
  <si>
    <t>herStrawYellow
034, 76.1, 100.0</t>
  </si>
  <si>
    <t>herBrightYellow
059, 83.1, 100.0</t>
  </si>
  <si>
    <t>herYellow
044, 70.7, 97.6</t>
  </si>
  <si>
    <t>herPaleYellow
045, 38.8, 100.0</t>
  </si>
  <si>
    <t>herVanilla
045, 31.9, 98.4</t>
  </si>
  <si>
    <t>herEcru
043, 20.4, 100.0</t>
  </si>
  <si>
    <t>herSunnyYellow
060, 23.9, 100.0</t>
  </si>
  <si>
    <t>herPaleGold
031, 73.4, 75.3</t>
  </si>
  <si>
    <t>herLime
058, 63.6, 82.0</t>
  </si>
  <si>
    <t>herDarkBeige
030, 51.4, 71.8</t>
  </si>
  <si>
    <t>herPaleSage
057, 37.2, 73.7</t>
  </si>
  <si>
    <t>herMossGreen
058, 50.5, 38.8</t>
  </si>
  <si>
    <t>herAntiqueBrass
043, 27.2, 36.1</t>
  </si>
  <si>
    <t>herPaleGreen
068, 20.8, 96.1</t>
  </si>
  <si>
    <t>herSpringGreen
077, 51.0, 76.9</t>
  </si>
  <si>
    <t>herDarkGreen
085, 36.9, 25.5</t>
  </si>
  <si>
    <t>herRainforest
093, 49.1, 41.6</t>
  </si>
  <si>
    <t>herMediumForestGreen
120, 30.0, 43.1</t>
  </si>
  <si>
    <t>herGreen
127, 43.0, 62.0</t>
  </si>
  <si>
    <t>herKellygreen
134, 28.7, 39.6</t>
  </si>
  <si>
    <t>herPaddyGreen
143, 70.6, 40.0</t>
  </si>
  <si>
    <t>herSeaGreen
164, 54.5, 43.9</t>
  </si>
  <si>
    <t>herLightAqua
170, 35.0, 83.9</t>
  </si>
  <si>
    <t>herMediumAqua
177, 85.2, 63.5</t>
  </si>
  <si>
    <t>herTurquoise
183, 86.1, 56.5</t>
  </si>
  <si>
    <t>herDarkTeal
186, 78.6, 43.9</t>
  </si>
  <si>
    <t>herNavyBlue
188, 62.1, 22.7</t>
  </si>
  <si>
    <t>herVeryLightBlue
190, 4.8, 98.8</t>
  </si>
  <si>
    <t>herMediumTeal
192, 84.8, 56.9</t>
  </si>
  <si>
    <t>herLightTeal
195, 60.5, 80.4</t>
  </si>
  <si>
    <t>herLightBlue
206, 29.0, 98.8</t>
  </si>
  <si>
    <t>herDarkCornflower
213, 69.6, 54.1</t>
  </si>
  <si>
    <t>herCornflower
216, 44.2, 74.5</t>
  </si>
  <si>
    <t>herGrey
222, 5.8, 87.5</t>
  </si>
  <si>
    <t>herDarkGrey
226, 13.9, 47.8</t>
  </si>
  <si>
    <t>herDarkRoyalBlue
227, 59.2, 29.8</t>
  </si>
  <si>
    <t>herPewter
240, 7.2, 27.1</t>
  </si>
  <si>
    <t>herBlueViolet
244, 50.8, 46.3</t>
  </si>
  <si>
    <t>herDarkLavender
291, 36.2, 63.9</t>
  </si>
  <si>
    <t>herDarkPurple
292, 57.5, 44.3</t>
  </si>
  <si>
    <t>herLightLavender
296, 14.4, 87.1</t>
  </si>
  <si>
    <t>herLavender
301, 25.1, 73.3</t>
  </si>
  <si>
    <t>Family_0</t>
  </si>
  <si>
    <t>Family_1</t>
  </si>
  <si>
    <t>Family_2</t>
  </si>
  <si>
    <t>Family_3</t>
  </si>
  <si>
    <t>Family_4</t>
  </si>
  <si>
    <t>Family_5</t>
  </si>
  <si>
    <t>Family_6</t>
  </si>
  <si>
    <t>Family_7</t>
  </si>
  <si>
    <t>Family_8</t>
  </si>
  <si>
    <t>Family_9</t>
  </si>
  <si>
    <t>Family_10</t>
  </si>
  <si>
    <t>Family_11</t>
  </si>
  <si>
    <t>Family_12</t>
  </si>
  <si>
    <t>Family_13</t>
  </si>
  <si>
    <t>Family_14</t>
  </si>
  <si>
    <t>Family_15</t>
  </si>
  <si>
    <t>Family_16</t>
  </si>
  <si>
    <t>Family_17</t>
  </si>
  <si>
    <t>black-white</t>
  </si>
  <si>
    <t>orange-brown</t>
  </si>
  <si>
    <t>gold-brass</t>
  </si>
  <si>
    <t>yellow-green</t>
  </si>
  <si>
    <t>violets</t>
  </si>
  <si>
    <t>COLORBOX_BUILD_PALETTE_1_1.bas</t>
  </si>
  <si>
    <t>COLORBOX_BUILD_PALETTE</t>
  </si>
  <si>
    <t>SetupPublicWbkWs</t>
  </si>
  <si>
    <t>SetupPublicWbkWs_(1)</t>
  </si>
  <si>
    <t>BuildPallet</t>
  </si>
  <si>
    <t>BuildPallet_(1)</t>
  </si>
  <si>
    <t>ClassColumnHead</t>
  </si>
  <si>
    <t>(sClass As String) As Range</t>
  </si>
  <si>
    <t>ClassColumnHead_(1)</t>
  </si>
  <si>
    <t>SafeDown</t>
  </si>
  <si>
    <t>(rStart As Range) As Range</t>
  </si>
  <si>
    <t>SafeDown_(1)</t>
  </si>
  <si>
    <t>DominantColorValue</t>
  </si>
  <si>
    <t>(rCell As Range, iRank As Integer) As Integer</t>
  </si>
  <si>
    <t>DominantColorValue_(1)</t>
  </si>
  <si>
    <t>HSVfromColornameCell</t>
  </si>
  <si>
    <t>(rColorName As Range) As String</t>
  </si>
  <si>
    <t>HSVfromColornameCell_(1)</t>
  </si>
  <si>
    <t>RGBtoHSV</t>
  </si>
  <si>
    <t>(sRGBcsv As String) As String</t>
  </si>
  <si>
    <t>RGBtoHSV_(1)</t>
  </si>
  <si>
    <t>nMax</t>
  </si>
  <si>
    <t>(n1 As Single, n2 As Single) As Single</t>
  </si>
  <si>
    <t>nMax_(1)</t>
  </si>
  <si>
    <t>nMin</t>
  </si>
  <si>
    <t>nMin_(1)</t>
  </si>
  <si>
    <t>CSV_Term</t>
  </si>
  <si>
    <t>(sText, iItem As Integer) As Single</t>
  </si>
  <si>
    <t>CSV_Term_(1)</t>
  </si>
  <si>
    <t>nMax_(1)
nMin_(1)
ExtractRGBValuesFromColor_(1)
nMinOf_(1)
nMaxOf_(1)</t>
  </si>
  <si>
    <t>CB_LOG_(1)
CB_AutoSelect_(1)
LetterUsageCount_(1)
ColorNameForLetter_(1)
ColorForChar_(1)
BW_TextColorForColor_(1)</t>
  </si>
  <si>
    <t xml:space="preserve"> common utility to define public defined workbooks and worksheets</t>
  </si>
  <si>
    <t>ColorBoxMainDriver_(1)
SetupConstants_(1)</t>
  </si>
  <si>
    <t>ColumnLetterToNumber_(1)
SetupPublicWbkWs_(1)
GetSysParmRange_(1)
ColorValueForRGBName_(1)
InitializeBackup_(1)</t>
  </si>
  <si>
    <t xml:space="preserve"> utility which returns the range of the SwatchList from which the Swatches are built. Letter to color table</t>
  </si>
  <si>
    <t xml:space="preserve"> sets up alternate distance method controls</t>
  </si>
  <si>
    <t xml:space="preserve"> this is intended to swap two entries in the Sheet_Swatch list in the SwatchList sheet
 note that only letters of the same case (upper/lower) can be switched</t>
  </si>
  <si>
    <t xml:space="preserve"> build her pallet from rgb name
 colors are placed into columns based on color family names
 family names are added as the are seen
 new names are added to the bottom of each column</t>
  </si>
  <si>
    <t>CB_ColorCell_(1)
CB_ShowCellValue_(1)
DisplayLettersAroundSelectedCell_(1)
PutLettersInArea_(1)
ReverseVideoFlashArea_(1)
BuildPallet_(1)</t>
  </si>
  <si>
    <t>SetupConstants_(1)
ClassColumnHead_(1)
AskQuestionForTrueFalse_(1)
SafeDown_(1)
ColorValueForRGBName_(1)
ContrastingColorForText_(1)
HSVfromColornameCell_(1)</t>
  </si>
  <si>
    <t xml:space="preserve"> mimics &lt;shift&gt;&lt;ctrl&gt;&lt;down arrow&gt; with the exception that it won't fall off of the end of the spreadsheet
  USE LastUsedCellInColumn if that is what you really want</t>
  </si>
  <si>
    <t>PopulateColorList_(1)
UpdateClosestDefinedColors_(1)
GetColorName_(1)</t>
  </si>
  <si>
    <t>CNC_OpenNewColorForm_(1)
UpdateClosestDefinedColors_(1)
ColorAsGradient_(1)
CSV_StringFromColor_(1)</t>
  </si>
  <si>
    <t>CBDC_FlashCircleAction_(1)
CBDC_FlashCenterpoint_(1)
CB_ShowCellValue_(1)
UpdateCurrentLetter_(1)
ChangeSelectedLetter_(1)
OBEHandleSelectedColorUpdate_(1)
DisplayColorChangeAsTest_(1)
CB_FindUsage_(1)
ToFromEnableButtons_(1)
ReverseVideoFlashArea_(1)
CBLP_FlashShape_(1)
ExtractColorNameAndRGBColorsFromLabel_(1)
CB_UpdateLegendSheet_(1)
ColorTextBox_(1)
ColorComboBox_(1)</t>
  </si>
  <si>
    <t>UpdateCB_Sample_(1)
CNC_OpenNewColorForm_(1)
CNC_NewNameEdit_(1)
PopulateColorboxHistory_(1)
CB_ColorCell_(1)
UpdateCurrentLetter_(1)
ChangeSelectedLetter_(1)
OBEHandleSelectedColorUpdate_(1)
CB_FindUsage_(1)
ToFromEnableButtons_(1)
PopulateSwatches_(1)
UpdateClosestLabel_(1)
PopulateMixerArray_(1)
PopulateInventory_(1)
CB_MIXER_CHANGE_COLOR_(1)
CB_UpdateLegendSheet_(1)
ColorTextBox_(1)
ColorComboBox_(1)</t>
  </si>
  <si>
    <t>CBLP_EnableButtons_(1)
ColorTextBox_(1)
ColorComboBox_(1)</t>
  </si>
  <si>
    <t xml:space="preserve"> takes an rgb string R, G, B and converts it into a Hue, Saturation. Value string
 from https://www.rapidtables.com/convert/color/rgb-to-hsv.html</t>
  </si>
  <si>
    <t>CNC_StoreNewColor_(1)
CNC_UpdateExistingColorForName_(1)
HandleColorListSelection_(1)
UpdateClosestDefinedColors_(1)
ExtractColorNameAndRGBColorsFromLabel_(1)
MSoftColorValueFromCSV_(1)
ClosestRGBNameColor_(1)
RGBtoHSV_(1)</t>
  </si>
  <si>
    <t xml:space="preserve"> returns the item's element of a csv term
  i.e. if item = 2, then the second term of the CSV is returned</t>
  </si>
  <si>
    <t>GetLocalOneDrivePath_1_0.bas</t>
  </si>
  <si>
    <t>GenericQuestion_1_5.bas</t>
  </si>
  <si>
    <t>(lSubjectColor As Long)</t>
  </si>
  <si>
    <t>DetermineHSV_DistancesBetweenColors</t>
  </si>
  <si>
    <t>(lColor1 As Long, lcolor2 As Long) As Single</t>
  </si>
  <si>
    <t>DetermineHSV_DistancesBetweenColors_(1)</t>
  </si>
  <si>
    <t>HSV_ValuesFromRGB_Values</t>
  </si>
  <si>
    <t>(iInRed As Integer, iInGreen As Integer, iInBlue As Integer, _
nOutHue As Single, nOutSat As Single, nOutVal As Single)</t>
  </si>
  <si>
    <t>HSV_ValuesFromRGB_Values_(1)</t>
  </si>
  <si>
    <t>ExtractRGBValuesFromColor_(1)
IsOverrideSet_(1)
GetColorDistanceMethod_(1)
InventoryDescriptionIndexRange_(1)
NameMeetsPrefixFilter_(1)
ReturnRGBElementsFromCSV_(1)
DistanceBetweenRGBValues_(1)
RGBAngle_(1)
DetermineHSV_DistancesBetweenColors_(1)
UpdateClosestLabel_(1)
CSV_StringFromColorValues_(1)</t>
  </si>
  <si>
    <t xml:space="preserve"> returns a class column header cell for the provided Class string. will either find one or make one</t>
  </si>
  <si>
    <t xml:space="preserve"> presents the given question to the user, returns a true or false value</t>
  </si>
  <si>
    <t>test code driver for Color as gradient testing</t>
  </si>
  <si>
    <t xml:space="preserve"> given a RGBName cell with a color name, returns the RGB value of the requested rank
   Rank 1 : largest
   rank 2 : second largest
   rank 3 : smallest</t>
  </si>
  <si>
    <t xml:space="preserve"> lookup utility, goes from rgbNAME CELL TO HSV cvs data</t>
  </si>
  <si>
    <t>ReturnRGBElementsFromCSV_(1)
HSV_ValuesFromRGB_Values_(1)</t>
  </si>
  <si>
    <t xml:space="preserve"> calculates the distance between the two colors using Hue, Saturation and Values as points in 3D space</t>
  </si>
  <si>
    <t>Saturation_(1)
Luminosity_(1)
ChangeSelectedLetter_(1)
OBEHandleSelectedColorUpdate_(1)
FadeUnder_(1)
Brite2Under_(1)
DarkUnder_(1)
Fade_(1)
UpdateClosestDefinedColors_(1)
ExtractColorNameAndRGBColorsFromLabel_(1)
DominantColorValue_(1)
ColorAsGradient_(1)
ClosestRGBNameColor_(1)
DistanceFromColorBlack_(1)
DetermineHSV_DistancesBetweenColors_(1)</t>
  </si>
  <si>
    <t>RGBtoHSV_(1)
DetermineHSV_DistancesBetweenColors_(1)</t>
  </si>
  <si>
    <t>ExtractRGBValuesFromColor_(1)
HSV_ValuesFromRGB_Values_(1)</t>
  </si>
  <si>
    <t xml:space="preserve"> converts red, green blue integers Hue, Saturation and Value singles</t>
  </si>
  <si>
    <t>Saturation_(1)
Luminosity_(1)
HSV_ValuesFromRGB_Values_(1)</t>
  </si>
  <si>
    <t>nMax_(1)
nMin_(1)</t>
  </si>
  <si>
    <t xml:space="preserve"> returns the greater of two single values</t>
  </si>
  <si>
    <t xml:space="preserve"> returns the lesser of two single values</t>
  </si>
  <si>
    <r>
      <t>1_5</t>
    </r>
    <r>
      <rPr>
        <sz val="10"/>
        <color rgb="FF000000"/>
        <rFont val="Calibri"/>
        <family val="2"/>
        <scheme val="minor"/>
      </rPr>
      <t xml:space="preserve">  1_4a  1_4  1_3  1_2</t>
    </r>
  </si>
  <si>
    <r>
      <t>02/14/24</t>
    </r>
    <r>
      <rPr>
        <sz val="10"/>
        <color theme="1"/>
        <rFont val="Calibri"/>
        <family val="2"/>
        <scheme val="minor"/>
      </rPr>
      <t xml:space="preserve"> 02/12/24 02/01/24 12/09/23 7/19/2019</t>
    </r>
  </si>
  <si>
    <r>
      <t>1_0</t>
    </r>
    <r>
      <rPr>
        <sz val="10"/>
        <color rgb="FF000000"/>
        <rFont val="Calibri"/>
        <family val="2"/>
        <scheme val="minor"/>
      </rPr>
      <t xml:space="preserve">  NO VERSION</t>
    </r>
  </si>
  <si>
    <r>
      <t>02/02/24</t>
    </r>
    <r>
      <rPr>
        <sz val="10"/>
        <color theme="1"/>
        <rFont val="Calibri"/>
        <family val="2"/>
        <scheme val="minor"/>
      </rPr>
      <t xml:space="preserve"> NO_DATE</t>
    </r>
  </si>
  <si>
    <t xml:space="preserve"> test driver</t>
  </si>
  <si>
    <t>ExtractRGBValuesFromColor_(1)
CSV_StringFromColorValues_(1)
ColorFromRGBValues_(1)</t>
  </si>
  <si>
    <t xml:space="preserve"> called when the HELP path is updated.
 makes sure that HELP path points to a file
 updates the RGBName recording of the help path
Dim sHelp As String</t>
  </si>
  <si>
    <t>GetSysParmRange_(1)
SetSysParmValue_(1)</t>
  </si>
  <si>
    <t xml:space="preserve"> presents question to user with optional text for 2 answer buttons, returns the selected answer button text as result</t>
  </si>
  <si>
    <t>ColorValueForRGBName_(1)
CB_LOG_(1)
GetColorName_(1)
SheetSwatchCharacterIndex_(1)
SheetSwatchOffsetForLetter_(1)
ChangeSelectedLetter_(1)
PopulateSwatches_(1)</t>
  </si>
  <si>
    <t>PopulateSwatches_(1)
CB_MoveSwatch_(1)</t>
  </si>
  <si>
    <t xml:space="preserve"> returns the (CONST) strings UPPER and lower  depending on the case of the input letter (assumed to be one)</t>
  </si>
  <si>
    <t>CNC_OpenNewColorForm_(1)
CB_MakeColorAssignment_(1)
PopulateMixerArray_(1)
CB_MIXER_CHANGE_COLOR_(1)
ExtractColorNameAndRGBColorsFromLabel_(1)</t>
  </si>
  <si>
    <t>FF</t>
  </si>
  <si>
    <t xml:space="preserve"> 255, 0, 0</t>
  </si>
  <si>
    <t>000, 100.0, 100.0</t>
  </si>
  <si>
    <t>45FF</t>
  </si>
  <si>
    <t xml:space="preserve"> 255, 69, 0</t>
  </si>
  <si>
    <t>016, 100.0, 100.0</t>
  </si>
  <si>
    <t>8CFF</t>
  </si>
  <si>
    <t xml:space="preserve"> 255, 140, 0</t>
  </si>
  <si>
    <t>033, 100.0, 100.0</t>
  </si>
  <si>
    <t>A5FF</t>
  </si>
  <si>
    <t xml:space="preserve"> 255, 165, 0</t>
  </si>
  <si>
    <t>039, 100.0, 100.0</t>
  </si>
  <si>
    <t>D7FF</t>
  </si>
  <si>
    <t xml:space="preserve"> 255, 215, 0</t>
  </si>
  <si>
    <t>051, 100.0, 100.0</t>
  </si>
  <si>
    <t>FFFF</t>
  </si>
  <si>
    <t xml:space="preserve"> 255, 255, 0</t>
  </si>
  <si>
    <t>060, 100.0, 100.0</t>
  </si>
  <si>
    <t>FF7F</t>
  </si>
  <si>
    <t xml:space="preserve"> 127, 255, 0</t>
  </si>
  <si>
    <t>090, 100.0, 100.0</t>
  </si>
  <si>
    <t>FF00</t>
  </si>
  <si>
    <t xml:space="preserve"> 0, 255, 0</t>
  </si>
  <si>
    <t>120, 100.0, 100.0</t>
  </si>
  <si>
    <t>7FFF00</t>
  </si>
  <si>
    <t xml:space="preserve"> 0, 255, 127</t>
  </si>
  <si>
    <t>150, 100.0, 100.0</t>
  </si>
  <si>
    <t>FFFF00</t>
  </si>
  <si>
    <t xml:space="preserve"> 0, 255, 255</t>
  </si>
  <si>
    <t>180, 100.0, 100.0</t>
  </si>
  <si>
    <t>FFBF00</t>
  </si>
  <si>
    <t xml:space="preserve"> 0, 191, 255</t>
  </si>
  <si>
    <t>195, 100.0, 100.0</t>
  </si>
  <si>
    <t>FF0000</t>
  </si>
  <si>
    <t xml:space="preserve"> 0, 0, 255</t>
  </si>
  <si>
    <t>240, 100.0, 100.0</t>
  </si>
  <si>
    <t>FF00FF</t>
  </si>
  <si>
    <t xml:space="preserve"> 255, 0, 255</t>
  </si>
  <si>
    <t>300, 100.0, 100.0</t>
  </si>
  <si>
    <t>FC7C</t>
  </si>
  <si>
    <t xml:space="preserve"> 124, 252, 0</t>
  </si>
  <si>
    <t>090, 100.0, 98.8</t>
  </si>
  <si>
    <t>9AFA00</t>
  </si>
  <si>
    <t xml:space="preserve"> 0, 250, 154</t>
  </si>
  <si>
    <t>157, 100.0, 98.0</t>
  </si>
  <si>
    <t>D30094</t>
  </si>
  <si>
    <t xml:space="preserve"> 148, 0, 211</t>
  </si>
  <si>
    <t>282, 100.0, 82.7</t>
  </si>
  <si>
    <t>D1CE00</t>
  </si>
  <si>
    <t xml:space="preserve"> 0, 206, 209</t>
  </si>
  <si>
    <t>181, 100.0, 82.0</t>
  </si>
  <si>
    <t>CD0000</t>
  </si>
  <si>
    <t xml:space="preserve"> 0, 0, 205</t>
  </si>
  <si>
    <t>240, 100.0, 80.4</t>
  </si>
  <si>
    <t>8B</t>
  </si>
  <si>
    <t xml:space="preserve"> 139, 0, 0</t>
  </si>
  <si>
    <t>000, 100.0, 54.5</t>
  </si>
  <si>
    <t>8B8B00</t>
  </si>
  <si>
    <t xml:space="preserve"> 0, 139, 139</t>
  </si>
  <si>
    <t>180, 100.0, 54.5</t>
  </si>
  <si>
    <t>8B0000</t>
  </si>
  <si>
    <t xml:space="preserve"> 0, 0, 139</t>
  </si>
  <si>
    <t>240, 100.0, 54.5</t>
  </si>
  <si>
    <t>8B008B</t>
  </si>
  <si>
    <t xml:space="preserve"> 139, 0, 139</t>
  </si>
  <si>
    <t>300, 100.0, 54.5</t>
  </si>
  <si>
    <t>82004B</t>
  </si>
  <si>
    <t xml:space="preserve"> 75, 0, 130</t>
  </si>
  <si>
    <t>275, 100.0, 51.0</t>
  </si>
  <si>
    <t xml:space="preserve"> 128, 0, 0</t>
  </si>
  <si>
    <t>000, 100.0, 50.2</t>
  </si>
  <si>
    <t xml:space="preserve"> 128, 128, 0</t>
  </si>
  <si>
    <t>060, 100.0, 50.2</t>
  </si>
  <si>
    <t xml:space="preserve"> 0, 128, 0</t>
  </si>
  <si>
    <t>120, 100.0, 50.2</t>
  </si>
  <si>
    <t xml:space="preserve"> 0, 128, 128</t>
  </si>
  <si>
    <t>180, 100.0, 50.2</t>
  </si>
  <si>
    <t xml:space="preserve"> 0, 0, 128</t>
  </si>
  <si>
    <t>240, 100.0, 50.2</t>
  </si>
  <si>
    <t xml:space="preserve"> 128, 0, 128</t>
  </si>
  <si>
    <t>300, 100.0, 50.2</t>
  </si>
  <si>
    <t xml:space="preserve"> 0, 100, 0</t>
  </si>
  <si>
    <t>120, 100.0, 39.2</t>
  </si>
  <si>
    <t xml:space="preserve"> 65, 25, 0</t>
  </si>
  <si>
    <t>023, 100.0, 25.5</t>
  </si>
  <si>
    <t>B86B8</t>
  </si>
  <si>
    <t xml:space="preserve"> 184, 134, 11</t>
  </si>
  <si>
    <t>043, 94.0, 72.2</t>
  </si>
  <si>
    <t>9314FF</t>
  </si>
  <si>
    <t xml:space="preserve"> 255, 20, 147</t>
  </si>
  <si>
    <t>328, 92.2, 100.0</t>
  </si>
  <si>
    <t xml:space="preserve"> 36, 21, 3</t>
  </si>
  <si>
    <t>033, 91.7, 14.1</t>
  </si>
  <si>
    <t>3C14DC</t>
  </si>
  <si>
    <t xml:space="preserve"> 220, 20, 60</t>
  </si>
  <si>
    <t>348, 90.9, 86.3</t>
  </si>
  <si>
    <t>8515C7</t>
  </si>
  <si>
    <t xml:space="preserve"> 199, 21, 133</t>
  </si>
  <si>
    <t>322, 89.4, 78.0</t>
  </si>
  <si>
    <t>FF901E</t>
  </si>
  <si>
    <t xml:space="preserve"> 30, 144, 255</t>
  </si>
  <si>
    <t>210, 88.2, 100.0</t>
  </si>
  <si>
    <t>908A14</t>
  </si>
  <si>
    <t xml:space="preserve"> 20, 138, 144</t>
  </si>
  <si>
    <t>183, 86.1, 56.5</t>
  </si>
  <si>
    <t>20A5DA</t>
  </si>
  <si>
    <t xml:space="preserve"> 218, 165, 32</t>
  </si>
  <si>
    <t>043, 85.3, 85.5</t>
  </si>
  <si>
    <t>9AA218</t>
  </si>
  <si>
    <t xml:space="preserve"> 24, 162, 154</t>
  </si>
  <si>
    <t>177, 85.2, 63.5</t>
  </si>
  <si>
    <t xml:space="preserve"> 22, 121, 145</t>
  </si>
  <si>
    <t>192, 84.8, 56.9</t>
  </si>
  <si>
    <t xml:space="preserve"> 104, 40, 16</t>
  </si>
  <si>
    <t>016, 84.6, 40.8</t>
  </si>
  <si>
    <t>2BFBFF</t>
  </si>
  <si>
    <t xml:space="preserve"> 255, 251, 43</t>
  </si>
  <si>
    <t>059, 83.1, 100.0</t>
  </si>
  <si>
    <t>2557D8</t>
  </si>
  <si>
    <t xml:space="preserve"> 216, 87, 37</t>
  </si>
  <si>
    <t>017, 82.9, 84.7</t>
  </si>
  <si>
    <t>3027D9</t>
  </si>
  <si>
    <t xml:space="preserve"> 217, 39, 48</t>
  </si>
  <si>
    <t>357, 82.0, 85.1</t>
  </si>
  <si>
    <t>AAB220</t>
  </si>
  <si>
    <t xml:space="preserve"> 32, 178, 170</t>
  </si>
  <si>
    <t>177, 82.0, 69.8</t>
  </si>
  <si>
    <t>2FFFAD</t>
  </si>
  <si>
    <t xml:space="preserve"> 173, 255, 47</t>
  </si>
  <si>
    <t>084, 81.6, 100.0</t>
  </si>
  <si>
    <t>E22B8A</t>
  </si>
  <si>
    <t xml:space="preserve"> 138, 43, 226</t>
  </si>
  <si>
    <t>271, 81.0, 88.6</t>
  </si>
  <si>
    <t>2222B2</t>
  </si>
  <si>
    <t xml:space="preserve"> 178, 34, 34</t>
  </si>
  <si>
    <t>000, 80.9, 69.8</t>
  </si>
  <si>
    <t>3263FD</t>
  </si>
  <si>
    <t xml:space="preserve"> 253, 99, 50</t>
  </si>
  <si>
    <t>014, 80.2, 99.2</t>
  </si>
  <si>
    <t>262DC0</t>
  </si>
  <si>
    <t xml:space="preserve"> 192, 45, 38</t>
  </si>
  <si>
    <t>003, 80.2, 75.3</t>
  </si>
  <si>
    <t>3588FF</t>
  </si>
  <si>
    <t xml:space="preserve"> 255, 136, 53</t>
  </si>
  <si>
    <t>025, 79.2, 100.0</t>
  </si>
  <si>
    <t>5A2AC9</t>
  </si>
  <si>
    <t xml:space="preserve"> 201, 42, 90</t>
  </si>
  <si>
    <t>342, 79.1, 78.8</t>
  </si>
  <si>
    <t xml:space="preserve"> 24, 103, 112</t>
  </si>
  <si>
    <t>186, 78.6, 43.9</t>
  </si>
  <si>
    <t xml:space="preserve"> 25, 25, 112</t>
  </si>
  <si>
    <t>240, 77.7, 43.9</t>
  </si>
  <si>
    <t>3DABFF</t>
  </si>
  <si>
    <t xml:space="preserve"> 255, 171, 61</t>
  </si>
  <si>
    <t>034, 76.1, 100.0</t>
  </si>
  <si>
    <t>32CD9A</t>
  </si>
  <si>
    <t xml:space="preserve"> 154, 205, 50</t>
  </si>
  <si>
    <t>080, 75.6, 80.4</t>
  </si>
  <si>
    <t>32CD32</t>
  </si>
  <si>
    <t xml:space="preserve"> 50, 205, 50</t>
  </si>
  <si>
    <t>120, 75.6, 80.4</t>
  </si>
  <si>
    <t>CC3299</t>
  </si>
  <si>
    <t xml:space="preserve"> 153, 50, 204</t>
  </si>
  <si>
    <t>280, 75.5, 80.0</t>
  </si>
  <si>
    <t xml:space="preserve"> 147, 36, 52</t>
  </si>
  <si>
    <t>351, 75.5, 57.6</t>
  </si>
  <si>
    <t>228B22</t>
  </si>
  <si>
    <t xml:space="preserve"> 34, 139, 34</t>
  </si>
  <si>
    <t>120, 75.5, 54.5</t>
  </si>
  <si>
    <t>238E6B</t>
  </si>
  <si>
    <t xml:space="preserve"> 107, 142, 35</t>
  </si>
  <si>
    <t>080, 75.4, 55.7</t>
  </si>
  <si>
    <t>2A2AA5</t>
  </si>
  <si>
    <t xml:space="preserve"> 165, 42, 42</t>
  </si>
  <si>
    <t>000, 74.5, 64.7</t>
  </si>
  <si>
    <t>381F76</t>
  </si>
  <si>
    <t xml:space="preserve"> 118, 31, 56</t>
  </si>
  <si>
    <t>343, 73.7, 46.3</t>
  </si>
  <si>
    <t>337DC0</t>
  </si>
  <si>
    <t xml:space="preserve"> 192, 125, 51</t>
  </si>
  <si>
    <t>031, 73.4, 75.3</t>
  </si>
  <si>
    <t>4763FF</t>
  </si>
  <si>
    <t xml:space="preserve"> 255, 99, 71</t>
  </si>
  <si>
    <t>009, 72.2, 100.0</t>
  </si>
  <si>
    <t>4297ED</t>
  </si>
  <si>
    <t xml:space="preserve"> 237, 151, 66</t>
  </si>
  <si>
    <t>030, 72.2, 92.9</t>
  </si>
  <si>
    <t>2D52A0</t>
  </si>
  <si>
    <t xml:space="preserve"> 160, 82, 45</t>
  </si>
  <si>
    <t>019, 71.9, 62.7</t>
  </si>
  <si>
    <t>D0E040</t>
  </si>
  <si>
    <t xml:space="preserve"> 64, 224, 208</t>
  </si>
  <si>
    <t>174, 71.4, 87.8</t>
  </si>
  <si>
    <t>3361B2</t>
  </si>
  <si>
    <t xml:space="preserve"> 178, 97, 51</t>
  </si>
  <si>
    <t>022, 71.3, 69.8</t>
  </si>
  <si>
    <t>E16941</t>
  </si>
  <si>
    <t xml:space="preserve"> 65, 105, 225</t>
  </si>
  <si>
    <t>225, 71.1, 88.2</t>
  </si>
  <si>
    <t>49CAF9</t>
  </si>
  <si>
    <t xml:space="preserve"> 249, 202, 73</t>
  </si>
  <si>
    <t>044, 70.7, 97.6</t>
  </si>
  <si>
    <t>39661E</t>
  </si>
  <si>
    <t xml:space="preserve"> 30, 102, 57</t>
  </si>
  <si>
    <t>143, 70.6, 40.0</t>
  </si>
  <si>
    <t>8A552A</t>
  </si>
  <si>
    <t xml:space="preserve"> 42, 85, 138</t>
  </si>
  <si>
    <t>213, 69.6, 54.1</t>
  </si>
  <si>
    <t>3945BA</t>
  </si>
  <si>
    <t xml:space="preserve"> 186, 69, 57</t>
  </si>
  <si>
    <t>006, 69.4, 72.9</t>
  </si>
  <si>
    <t>3F85CD</t>
  </si>
  <si>
    <t xml:space="preserve"> 205, 133, 63</t>
  </si>
  <si>
    <t>030, 69.3, 80.4</t>
  </si>
  <si>
    <t xml:space="preserve"> 113, 54, 35</t>
  </si>
  <si>
    <t>015, 69.0, 44.3</t>
  </si>
  <si>
    <t>507FFF</t>
  </si>
  <si>
    <t xml:space="preserve"> 255, 127, 80</t>
  </si>
  <si>
    <t>016, 68.6, 100.0</t>
  </si>
  <si>
    <t>2F4691</t>
  </si>
  <si>
    <t xml:space="preserve"> 145, 70, 47</t>
  </si>
  <si>
    <t>014, 67.6, 56.9</t>
  </si>
  <si>
    <t>1E2E5C</t>
  </si>
  <si>
    <t xml:space="preserve"> 92, 46, 30</t>
  </si>
  <si>
    <t>015, 67.4, 36.1</t>
  </si>
  <si>
    <t>E0F2B</t>
  </si>
  <si>
    <t xml:space="preserve"> 43, 15, 14</t>
  </si>
  <si>
    <t>002, 67.4, 16.9</t>
  </si>
  <si>
    <t>578B2E</t>
  </si>
  <si>
    <t xml:space="preserve"> 46, 139, 87</t>
  </si>
  <si>
    <t>146, 66.9, 54.5</t>
  </si>
  <si>
    <t>71B33C</t>
  </si>
  <si>
    <t xml:space="preserve"> 60, 179, 113</t>
  </si>
  <si>
    <t>147, 66.5, 70.2</t>
  </si>
  <si>
    <t>CCD148</t>
  </si>
  <si>
    <t xml:space="preserve"> 72, 209, 204</t>
  </si>
  <si>
    <t>178, 65.6, 82.0</t>
  </si>
  <si>
    <t>4CCCD1</t>
  </si>
  <si>
    <t xml:space="preserve"> 209, 204, 76</t>
  </si>
  <si>
    <t>058, 63.6, 82.0</t>
  </si>
  <si>
    <t>1B244A</t>
  </si>
  <si>
    <t xml:space="preserve"> 74, 36, 27</t>
  </si>
  <si>
    <t>011, 63.5, 29.0</t>
  </si>
  <si>
    <t>8557EE</t>
  </si>
  <si>
    <t xml:space="preserve"> 238, 87, 133</t>
  </si>
  <si>
    <t>342, 63.4, 93.3</t>
  </si>
  <si>
    <t>3A3516</t>
  </si>
  <si>
    <t xml:space="preserve"> 22, 53, 58</t>
  </si>
  <si>
    <t>188, 62.1, 22.7</t>
  </si>
  <si>
    <t>B48246</t>
  </si>
  <si>
    <t xml:space="preserve"> 70, 130, 180</t>
  </si>
  <si>
    <t>207, 61.1, 70.6</t>
  </si>
  <si>
    <t>60A4F4</t>
  </si>
  <si>
    <t xml:space="preserve"> 244, 164, 96</t>
  </si>
  <si>
    <t>028, 60.7, 95.7</t>
  </si>
  <si>
    <t>CDAE51</t>
  </si>
  <si>
    <t xml:space="preserve"> 81, 174, 205</t>
  </si>
  <si>
    <t>195, 60.5, 80.4</t>
  </si>
  <si>
    <t>AAFF66</t>
  </si>
  <si>
    <t xml:space="preserve"> 102, 255, 170</t>
  </si>
  <si>
    <t>147, 60.0, 100.0</t>
  </si>
  <si>
    <t>D355BA</t>
  </si>
  <si>
    <t xml:space="preserve"> 186, 85, 211</t>
  </si>
  <si>
    <t>288, 59.7, 82.7</t>
  </si>
  <si>
    <t>4C291F</t>
  </si>
  <si>
    <t xml:space="preserve"> 31, 41, 76</t>
  </si>
  <si>
    <t>227, 59.2, 29.8</t>
  </si>
  <si>
    <t>B469FF</t>
  </si>
  <si>
    <t xml:space="preserve"> 255, 105, 180</t>
  </si>
  <si>
    <t>330, 58.8, 100.0</t>
  </si>
  <si>
    <t>ED9564</t>
  </si>
  <si>
    <t xml:space="preserve"> 100, 149, 237</t>
  </si>
  <si>
    <t>219, 57.8, 92.9</t>
  </si>
  <si>
    <t xml:space="preserve"> 104, 48, 113</t>
  </si>
  <si>
    <t>292, 57.5, 44.3</t>
  </si>
  <si>
    <t>EE687B</t>
  </si>
  <si>
    <t xml:space="preserve"> 123, 104, 238</t>
  </si>
  <si>
    <t>249, 56.3, 93.3</t>
  </si>
  <si>
    <t>649FE4</t>
  </si>
  <si>
    <t xml:space="preserve"> 228, 159, 100</t>
  </si>
  <si>
    <t>028, 56.1, 89.4</t>
  </si>
  <si>
    <t>CD5A6A</t>
  </si>
  <si>
    <t xml:space="preserve"> 106, 90, 205</t>
  </si>
  <si>
    <t>248, 56.1, 80.4</t>
  </si>
  <si>
    <t>8B3D48</t>
  </si>
  <si>
    <t xml:space="preserve"> 72, 61, 139</t>
  </si>
  <si>
    <t>248, 56.1, 54.5</t>
  </si>
  <si>
    <t>2F6B55</t>
  </si>
  <si>
    <t xml:space="preserve"> 85, 107, 47</t>
  </si>
  <si>
    <t>082, 56.1, 42.0</t>
  </si>
  <si>
    <t>5C5CCD</t>
  </si>
  <si>
    <t xml:space="preserve"> 205, 92, 92</t>
  </si>
  <si>
    <t>000, 55.1, 80.4</t>
  </si>
  <si>
    <t>6BE8EE</t>
  </si>
  <si>
    <t xml:space="preserve"> 238, 232, 107</t>
  </si>
  <si>
    <t>057, 55.0, 93.3</t>
  </si>
  <si>
    <t xml:space="preserve"> 152, 99, 69</t>
  </si>
  <si>
    <t>022, 54.6, 59.6</t>
  </si>
  <si>
    <t xml:space="preserve"> 51, 112, 96</t>
  </si>
  <si>
    <t>164, 54.5, 43.9</t>
  </si>
  <si>
    <t>7280FA</t>
  </si>
  <si>
    <t xml:space="preserve"> 250, 128, 114</t>
  </si>
  <si>
    <t>006, 54.4, 98.0</t>
  </si>
  <si>
    <t>7493F6</t>
  </si>
  <si>
    <t xml:space="preserve"> 246, 147, 116</t>
  </si>
  <si>
    <t>014, 52.8, 96.5</t>
  </si>
  <si>
    <t>7AA0FF</t>
  </si>
  <si>
    <t xml:space="preserve"> 255, 160, 122</t>
  </si>
  <si>
    <t>017, 52.2, 100.0</t>
  </si>
  <si>
    <t>5988B7</t>
  </si>
  <si>
    <t xml:space="preserve"> 183, 136, 89</t>
  </si>
  <si>
    <t>030, 51.4, 71.8</t>
  </si>
  <si>
    <t>60C4A8</t>
  </si>
  <si>
    <t xml:space="preserve"> 168, 196, 96</t>
  </si>
  <si>
    <t>077, 51.0, 76.9</t>
  </si>
  <si>
    <t>763A3E</t>
  </si>
  <si>
    <t xml:space="preserve"> 62, 58, 118</t>
  </si>
  <si>
    <t>244, 50.8, 46.3</t>
  </si>
  <si>
    <t xml:space="preserve"> 99, 97, 49</t>
  </si>
  <si>
    <t>058, 50.5, 38.8</t>
  </si>
  <si>
    <t>D4FF7F</t>
  </si>
  <si>
    <t xml:space="preserve"> 127, 255, 212</t>
  </si>
  <si>
    <t>160, 50.2, 100.0</t>
  </si>
  <si>
    <t>6A89D4</t>
  </si>
  <si>
    <t xml:space="preserve"> 212, 137, 106</t>
  </si>
  <si>
    <t>018, 50.0, 83.1</t>
  </si>
  <si>
    <t>366A4D</t>
  </si>
  <si>
    <t xml:space="preserve"> 77, 106, 54</t>
  </si>
  <si>
    <t>093, 49.1, 41.6</t>
  </si>
  <si>
    <t>DB7093</t>
  </si>
  <si>
    <t xml:space="preserve"> 147, 112, 219</t>
  </si>
  <si>
    <t>260, 48.9, 85.9</t>
  </si>
  <si>
    <t>9370DB</t>
  </si>
  <si>
    <t xml:space="preserve"> 219, 112, 147</t>
  </si>
  <si>
    <t>340, 48.9, 85.9</t>
  </si>
  <si>
    <t>D670DA</t>
  </si>
  <si>
    <t xml:space="preserve"> 218, 112, 214</t>
  </si>
  <si>
    <t>302, 48.6, 85.5</t>
  </si>
  <si>
    <t>7A96E9</t>
  </si>
  <si>
    <t xml:space="preserve"> 233, 150, 122</t>
  </si>
  <si>
    <t>015, 47.6, 91.4</t>
  </si>
  <si>
    <t>8080F0</t>
  </si>
  <si>
    <t xml:space="preserve"> 240, 128, 128</t>
  </si>
  <si>
    <t>000, 46.7, 94.1</t>
  </si>
  <si>
    <t>FACE87</t>
  </si>
  <si>
    <t xml:space="preserve"> 135, 206, 250</t>
  </si>
  <si>
    <t>203, 46.0, 98.0</t>
  </si>
  <si>
    <t>7D71D1</t>
  </si>
  <si>
    <t xml:space="preserve"> 209, 113, 125</t>
  </si>
  <si>
    <t>353, 45.9, 82.0</t>
  </si>
  <si>
    <t>EE82EE</t>
  </si>
  <si>
    <t xml:space="preserve"> 238, 130, 238</t>
  </si>
  <si>
    <t>300, 45.4, 93.3</t>
  </si>
  <si>
    <t xml:space="preserve"> 131, 81, 72</t>
  </si>
  <si>
    <t>009, 45.0, 51.4</t>
  </si>
  <si>
    <t>BE8B6A</t>
  </si>
  <si>
    <t xml:space="preserve"> 106, 139, 190</t>
  </si>
  <si>
    <t>216, 44.2, 74.5</t>
  </si>
  <si>
    <t>6BB7BD</t>
  </si>
  <si>
    <t xml:space="preserve"> 189, 183, 107</t>
  </si>
  <si>
    <t>056, 43.4, 74.1</t>
  </si>
  <si>
    <t>629E5A</t>
  </si>
  <si>
    <t xml:space="preserve"> 90, 158, 98</t>
  </si>
  <si>
    <t>127, 43.0, 62.0</t>
  </si>
  <si>
    <t>EBCE87</t>
  </si>
  <si>
    <t xml:space="preserve"> 135, 206, 235</t>
  </si>
  <si>
    <t>197, 42.6, 92.2</t>
  </si>
  <si>
    <t>8CE6F0</t>
  </si>
  <si>
    <t xml:space="preserve"> 240, 230, 140</t>
  </si>
  <si>
    <t>054, 41.7, 94.1</t>
  </si>
  <si>
    <t>A09E5F</t>
  </si>
  <si>
    <t xml:space="preserve"> 95, 158, 160</t>
  </si>
  <si>
    <t>182, 40.6, 62.7</t>
  </si>
  <si>
    <t>4F4F2F</t>
  </si>
  <si>
    <t xml:space="preserve"> 47, 79, 79</t>
  </si>
  <si>
    <t>180, 40.5, 31.0</t>
  </si>
  <si>
    <t>90EE90</t>
  </si>
  <si>
    <t xml:space="preserve"> 144, 238, 144</t>
  </si>
  <si>
    <t>120, 39.5, 93.3</t>
  </si>
  <si>
    <t>98FB98</t>
  </si>
  <si>
    <t xml:space="preserve"> 152, 251, 152</t>
  </si>
  <si>
    <t>120, 39.4, 98.4</t>
  </si>
  <si>
    <t>87B8DE</t>
  </si>
  <si>
    <t xml:space="preserve"> 222, 184, 135</t>
  </si>
  <si>
    <t>034, 39.2, 87.1</t>
  </si>
  <si>
    <t>9CE6FF</t>
  </si>
  <si>
    <t xml:space="preserve"> 255, 230, 156</t>
  </si>
  <si>
    <t>045, 38.8, 100.0</t>
  </si>
  <si>
    <t>8275BF</t>
  </si>
  <si>
    <t xml:space="preserve"> 191, 117, 130</t>
  </si>
  <si>
    <t>349, 38.7, 74.9</t>
  </si>
  <si>
    <t xml:space="preserve"> 130, 102, 80</t>
  </si>
  <si>
    <t>026, 38.5, 51.0</t>
  </si>
  <si>
    <t>76B9BC</t>
  </si>
  <si>
    <t xml:space="preserve"> 188, 185, 118</t>
  </si>
  <si>
    <t>057, 37.2, 73.7</t>
  </si>
  <si>
    <t xml:space="preserve"> 55, 65, 41</t>
  </si>
  <si>
    <t>085, 36.9, 25.5</t>
  </si>
  <si>
    <t>A3689A</t>
  </si>
  <si>
    <t xml:space="preserve"> 154, 104, 163</t>
  </si>
  <si>
    <t>291, 36.2, 63.9</t>
  </si>
  <si>
    <t>CAD68B</t>
  </si>
  <si>
    <t xml:space="preserve"> 139, 214, 202</t>
  </si>
  <si>
    <t>170, 35.0, 83.9</t>
  </si>
  <si>
    <t>8CB4D2</t>
  </si>
  <si>
    <t xml:space="preserve"> 210, 180, 140</t>
  </si>
  <si>
    <t>034, 33.3, 82.4</t>
  </si>
  <si>
    <t>ADDEFF</t>
  </si>
  <si>
    <t xml:space="preserve"> 255, 222, 173</t>
  </si>
  <si>
    <t>036, 32.2, 100.0</t>
  </si>
  <si>
    <t>ABE7FB</t>
  </si>
  <si>
    <t xml:space="preserve"> 251, 231, 171</t>
  </si>
  <si>
    <t>045, 31.9, 98.4</t>
  </si>
  <si>
    <t>C8B0FF</t>
  </si>
  <si>
    <t xml:space="preserve"> 255, 176, 200</t>
  </si>
  <si>
    <t>342, 31.0, 100.0</t>
  </si>
  <si>
    <t>4D6E4D</t>
  </si>
  <si>
    <t xml:space="preserve"> 77, 110, 77</t>
  </si>
  <si>
    <t>120, 30.0, 43.1</t>
  </si>
  <si>
    <t>B5E4FF</t>
  </si>
  <si>
    <t xml:space="preserve"> 255, 228, 181</t>
  </si>
  <si>
    <t>038, 29.0, 100.0</t>
  </si>
  <si>
    <t>FCDCB3</t>
  </si>
  <si>
    <t xml:space="preserve"> 179, 220, 252</t>
  </si>
  <si>
    <t>206, 29.0, 98.8</t>
  </si>
  <si>
    <t>4F6548</t>
  </si>
  <si>
    <t xml:space="preserve"> 72, 101, 79</t>
  </si>
  <si>
    <t>134, 28.7, 39.6</t>
  </si>
  <si>
    <t>C1B6FF</t>
  </si>
  <si>
    <t xml:space="preserve"> 255, 182, 193</t>
  </si>
  <si>
    <t>351, 28.6, 100.0</t>
  </si>
  <si>
    <t>DDA0DD</t>
  </si>
  <si>
    <t xml:space="preserve"> 221, 160, 221</t>
  </si>
  <si>
    <t>300, 27.6, 86.7</t>
  </si>
  <si>
    <t>B9DAFF</t>
  </si>
  <si>
    <t xml:space="preserve"> 255, 218, 185</t>
  </si>
  <si>
    <t>028, 27.5, 100.0</t>
  </si>
  <si>
    <t>43555C</t>
  </si>
  <si>
    <t xml:space="preserve"> 92, 85, 67</t>
  </si>
  <si>
    <t>043, 27.2, 36.1</t>
  </si>
  <si>
    <t>B3DEF5</t>
  </si>
  <si>
    <t xml:space="preserve"> 245, 222, 179</t>
  </si>
  <si>
    <t>039, 26.9, 96.1</t>
  </si>
  <si>
    <t>EEEEAF</t>
  </si>
  <si>
    <t xml:space="preserve"> 175, 238, 238</t>
  </si>
  <si>
    <t>180, 26.5, 93.3</t>
  </si>
  <si>
    <t>BFD6FF</t>
  </si>
  <si>
    <t xml:space="preserve"> 255, 214, 191</t>
  </si>
  <si>
    <t>022, 25.1, 100.0</t>
  </si>
  <si>
    <t>BA8CBB</t>
  </si>
  <si>
    <t xml:space="preserve"> 187, 140, 186</t>
  </si>
  <si>
    <t>301, 25.1, 73.3</t>
  </si>
  <si>
    <t>E6D8AD</t>
  </si>
  <si>
    <t xml:space="preserve"> 173, 216, 230</t>
  </si>
  <si>
    <t>195, 24.8, 90.2</t>
  </si>
  <si>
    <t>CBC0FF</t>
  </si>
  <si>
    <t xml:space="preserve"> 255, 192, 203</t>
  </si>
  <si>
    <t>350, 24.7, 100.0</t>
  </si>
  <si>
    <t>C2FFFF</t>
  </si>
  <si>
    <t xml:space="preserve"> 255, 255, 194</t>
  </si>
  <si>
    <t>060, 23.9, 100.0</t>
  </si>
  <si>
    <t>8F8FBC</t>
  </si>
  <si>
    <t xml:space="preserve"> 188, 143, 143</t>
  </si>
  <si>
    <t>000, 23.9, 73.7</t>
  </si>
  <si>
    <t>8FBC8F</t>
  </si>
  <si>
    <t xml:space="preserve"> 143, 188, 143</t>
  </si>
  <si>
    <t>120, 23.9, 73.7</t>
  </si>
  <si>
    <t>E6E0B0</t>
  </si>
  <si>
    <t xml:space="preserve"> 176, 224, 230</t>
  </si>
  <si>
    <t>187, 23.5, 90.2</t>
  </si>
  <si>
    <t>C4E4FF</t>
  </si>
  <si>
    <t xml:space="preserve"> 255, 228, 196</t>
  </si>
  <si>
    <t>033, 23.1, 100.0</t>
  </si>
  <si>
    <t xml:space="preserve"> 119, 136, 153</t>
  </si>
  <si>
    <t>210, 22.2, 60.0</t>
  </si>
  <si>
    <t xml:space="preserve"> 112, 128, 144</t>
  </si>
  <si>
    <t>210, 22.2, 56.5</t>
  </si>
  <si>
    <t>C2F5EE</t>
  </si>
  <si>
    <t xml:space="preserve"> 238, 245, 194</t>
  </si>
  <si>
    <t>068, 20.8, 96.1</t>
  </si>
  <si>
    <t>DEC4B0</t>
  </si>
  <si>
    <t xml:space="preserve"> 176, 196, 222</t>
  </si>
  <si>
    <t>214, 20.7, 87.1</t>
  </si>
  <si>
    <t>CBF0FF</t>
  </si>
  <si>
    <t xml:space="preserve"> 255, 240, 203</t>
  </si>
  <si>
    <t>043, 20.4, 100.0</t>
  </si>
  <si>
    <t>CCCBFF</t>
  </si>
  <si>
    <t xml:space="preserve"> 255, 203, 204</t>
  </si>
  <si>
    <t>359, 20.4, 100.0</t>
  </si>
  <si>
    <t>CDEBFF</t>
  </si>
  <si>
    <t xml:space="preserve"> 255, 235, 205</t>
  </si>
  <si>
    <t>036, 19.6, 100.0</t>
  </si>
  <si>
    <t>CDFAFF</t>
  </si>
  <si>
    <t xml:space="preserve"> 255, 250, 205</t>
  </si>
  <si>
    <t>054, 19.6, 100.0</t>
  </si>
  <si>
    <t>D5EFFF</t>
  </si>
  <si>
    <t xml:space="preserve"> 255, 239, 213</t>
  </si>
  <si>
    <t>037, 16.5, 100.0</t>
  </si>
  <si>
    <t>D2FAFA</t>
  </si>
  <si>
    <t xml:space="preserve"> 250, 250, 210</t>
  </si>
  <si>
    <t>060, 16.0, 98.0</t>
  </si>
  <si>
    <t>DEBEDC</t>
  </si>
  <si>
    <t xml:space="preserve"> 220, 190, 222</t>
  </si>
  <si>
    <t>296, 14.4, 87.1</t>
  </si>
  <si>
    <t>D7EBFA</t>
  </si>
  <si>
    <t xml:space="preserve"> 250, 235, 215</t>
  </si>
  <si>
    <t>034, 14.0, 98.0</t>
  </si>
  <si>
    <t>7A6D69</t>
  </si>
  <si>
    <t xml:space="preserve"> 105, 109, 122</t>
  </si>
  <si>
    <t>226, 13.9, 47.8</t>
  </si>
  <si>
    <t>DCF8FF</t>
  </si>
  <si>
    <t xml:space="preserve"> 255, 248, 220</t>
  </si>
  <si>
    <t>048, 13.7, 100.0</t>
  </si>
  <si>
    <t>E0FFFF</t>
  </si>
  <si>
    <t xml:space="preserve"> 255, 255, 224</t>
  </si>
  <si>
    <t>060, 12.2, 100.0</t>
  </si>
  <si>
    <t>E1E4FF</t>
  </si>
  <si>
    <t xml:space="preserve"> 255, 228, 225</t>
  </si>
  <si>
    <t>006, 11.8, 100.0</t>
  </si>
  <si>
    <t>D8BFD8</t>
  </si>
  <si>
    <t xml:space="preserve"> 216, 191, 216</t>
  </si>
  <si>
    <t>300, 11.6, 84.7</t>
  </si>
  <si>
    <t>DCF5F5</t>
  </si>
  <si>
    <t xml:space="preserve"> 245, 245, 220</t>
  </si>
  <si>
    <t>060, 10.2, 96.1</t>
  </si>
  <si>
    <t>E6F5FD</t>
  </si>
  <si>
    <t xml:space="preserve"> 253, 245, 230</t>
  </si>
  <si>
    <t>039, 9.1, 99.2</t>
  </si>
  <si>
    <t>E6F0FA</t>
  </si>
  <si>
    <t xml:space="preserve"> 250, 240, 230</t>
  </si>
  <si>
    <t>030, 8.0, 98.0</t>
  </si>
  <si>
    <t>FAE6E6</t>
  </si>
  <si>
    <t xml:space="preserve"> 230, 230, 250</t>
  </si>
  <si>
    <t>240, 8.0, 98.0</t>
  </si>
  <si>
    <t xml:space="preserve"> 64, 64, 69</t>
  </si>
  <si>
    <t>240, 7.2, 27.1</t>
  </si>
  <si>
    <t>EEF5FF</t>
  </si>
  <si>
    <t xml:space="preserve"> 255, 245, 238</t>
  </si>
  <si>
    <t>025, 6.7, 100.0</t>
  </si>
  <si>
    <t>F0FAFF</t>
  </si>
  <si>
    <t xml:space="preserve"> 255, 250, 240</t>
  </si>
  <si>
    <t>040, 5.9, 100.0</t>
  </si>
  <si>
    <t>F0FFFF</t>
  </si>
  <si>
    <t xml:space="preserve"> 255, 255, 240</t>
  </si>
  <si>
    <t>060, 5.9, 100.0</t>
  </si>
  <si>
    <t>F0FFF0</t>
  </si>
  <si>
    <t xml:space="preserve"> 240, 255, 240</t>
  </si>
  <si>
    <t>120, 5.9, 100.0</t>
  </si>
  <si>
    <t>FFFFF0</t>
  </si>
  <si>
    <t xml:space="preserve"> 240, 255, 255</t>
  </si>
  <si>
    <t>180, 5.9, 100.0</t>
  </si>
  <si>
    <t>FFF8F0</t>
  </si>
  <si>
    <t xml:space="preserve"> 240, 248, 255</t>
  </si>
  <si>
    <t>208, 5.9, 100.0</t>
  </si>
  <si>
    <t>F5F0FF</t>
  </si>
  <si>
    <t xml:space="preserve"> 255, 240, 245</t>
  </si>
  <si>
    <t>340, 5.9, 100.0</t>
  </si>
  <si>
    <t>DFD6D2</t>
  </si>
  <si>
    <t xml:space="preserve"> 210, 214, 223</t>
  </si>
  <si>
    <t>222, 5.8, 87.5</t>
  </si>
  <si>
    <t>FCFAF0</t>
  </si>
  <si>
    <t xml:space="preserve"> 240, 250, 252</t>
  </si>
  <si>
    <t>190, 4.8, 98.8</t>
  </si>
  <si>
    <t>FAFFF5</t>
  </si>
  <si>
    <t xml:space="preserve"> 245, 255, 250</t>
  </si>
  <si>
    <t>150, 3.9, 100.0</t>
  </si>
  <si>
    <t>FFF8F8</t>
  </si>
  <si>
    <t xml:space="preserve"> 248, 248, 255</t>
  </si>
  <si>
    <t>240, 2.7, 100.0</t>
  </si>
  <si>
    <t>FAFAFF</t>
  </si>
  <si>
    <t xml:space="preserve"> 255, 250, 250</t>
  </si>
  <si>
    <t>000, 2.0, 100.0</t>
  </si>
  <si>
    <t>FFFFFF</t>
  </si>
  <si>
    <t xml:space="preserve"> 255, 255, 255</t>
  </si>
  <si>
    <t>000, 0.0, 100.0</t>
  </si>
  <si>
    <t>F5F5F5</t>
  </si>
  <si>
    <t xml:space="preserve"> 245, 245, 245</t>
  </si>
  <si>
    <t>000, 0.0, 96.1</t>
  </si>
  <si>
    <t>DCDCDC</t>
  </si>
  <si>
    <t xml:space="preserve"> 220, 220, 220</t>
  </si>
  <si>
    <t>000, 0.0, 86.3</t>
  </si>
  <si>
    <t>D3D3D3</t>
  </si>
  <si>
    <t xml:space="preserve"> 211, 211, 211</t>
  </si>
  <si>
    <t>000, 0.0, 82.7</t>
  </si>
  <si>
    <t>C0C0C0</t>
  </si>
  <si>
    <t xml:space="preserve"> 192, 192, 192</t>
  </si>
  <si>
    <t>000, 0.0, 75.3</t>
  </si>
  <si>
    <t>A9A9A9</t>
  </si>
  <si>
    <t xml:space="preserve"> 169, 169, 169</t>
  </si>
  <si>
    <t>000, 0.0, 66.3</t>
  </si>
  <si>
    <t xml:space="preserve"> 148, 148, 148</t>
  </si>
  <si>
    <t>000, 0.0, 58.0</t>
  </si>
  <si>
    <t xml:space="preserve"> 128, 128, 128</t>
  </si>
  <si>
    <t>000, 0.0, 50.2</t>
  </si>
  <si>
    <t xml:space="preserve"> 105, 105, 105</t>
  </si>
  <si>
    <t>000, 0.0, 41.2</t>
  </si>
  <si>
    <t xml:space="preserve"> 0, 0, 0</t>
  </si>
  <si>
    <t>000, 0.0, 0.0</t>
  </si>
  <si>
    <t>010, 66.7, 35.3</t>
  </si>
  <si>
    <t>herDarkTeal</t>
  </si>
  <si>
    <t>herLightTeal</t>
  </si>
  <si>
    <t>herPaleSage</t>
  </si>
  <si>
    <t>herRosewood</t>
  </si>
  <si>
    <t>herBrass</t>
  </si>
  <si>
    <t>herPaleGold</t>
  </si>
  <si>
    <t>herAntiqueBrass</t>
  </si>
  <si>
    <t>herBurgundy</t>
  </si>
  <si>
    <t>Letter</t>
  </si>
  <si>
    <t>Total</t>
  </si>
  <si>
    <t>NAME</t>
  </si>
  <si>
    <t>hor top</t>
  </si>
  <si>
    <t>hor mid</t>
  </si>
  <si>
    <t>hor bot</t>
  </si>
  <si>
    <t>vert left</t>
  </si>
  <si>
    <t>Vert mid</t>
  </si>
  <si>
    <t>ver right</t>
  </si>
  <si>
    <t>hor st up mid</t>
  </si>
  <si>
    <t>hot st up bot</t>
  </si>
  <si>
    <t>hor st  dn top</t>
  </si>
  <si>
    <t>hor st db mid</t>
  </si>
  <si>
    <t>hor nd dn top</t>
  </si>
  <si>
    <t>hor nd dn mid</t>
  </si>
  <si>
    <t>hor nd up mid</t>
  </si>
  <si>
    <t>hor nd up bot</t>
  </si>
  <si>
    <t>ver bot right left</t>
  </si>
  <si>
    <t>ver bot right mid</t>
  </si>
  <si>
    <t>ver bot left mid</t>
  </si>
  <si>
    <t>ver bot left rigth</t>
  </si>
  <si>
    <t>ver top right left</t>
  </si>
  <si>
    <t>ver top right mid</t>
  </si>
  <si>
    <t>ver top left mid</t>
  </si>
  <si>
    <t>ver top left right</t>
  </si>
  <si>
    <t>ImageStepDown.frm</t>
  </si>
  <si>
    <t>ImageStepDown</t>
  </si>
  <si>
    <t>clsNamedColor.cls</t>
  </si>
  <si>
    <t>clsNamedColor</t>
  </si>
  <si>
    <t>COLOR_PYTHON</t>
  </si>
  <si>
    <t>clsRowColPair.cls</t>
  </si>
  <si>
    <t>clsRowColPair</t>
  </si>
  <si>
    <t>clsXY_Sets.cls</t>
  </si>
  <si>
    <t>clsXY_Sets</t>
  </si>
  <si>
    <t>(iCenterRow As Integer, iCenterCol As Integer, iRadius As Integer, iThickness As Integer, lColor As Long)</t>
  </si>
  <si>
    <t>(lColor As Long, rOut As Range) As Range</t>
  </si>
  <si>
    <t>(lColor As Long, rStart As Range)</t>
  </si>
  <si>
    <t>(lColor As Long)</t>
  </si>
  <si>
    <t>CBMF_IMPORT_PYTHON_Click</t>
  </si>
  <si>
    <t>CBMF_IMPORT_PYTHON_Click_(1)</t>
  </si>
  <si>
    <t>CBMF_PYTHON_PROCESS_Click</t>
  </si>
  <si>
    <t>CBMF_PYTHON_PROCESS_Click_(1)</t>
  </si>
  <si>
    <t>CBMF_STEPDOWN_SIZE_Click</t>
  </si>
  <si>
    <t>CBMF_STEPDOWN_SIZE_Click_(1)</t>
  </si>
  <si>
    <t>(sSheetname As String) As Worksheet</t>
  </si>
  <si>
    <t>(rCell As Range, lColor As Long)</t>
  </si>
  <si>
    <t>(lColor As Long) As String</t>
  </si>
  <si>
    <t>(lColor As Long, iOutRed As Integer, iOutGreen As Integer, iOutBlue As Integer)</t>
  </si>
  <si>
    <t>ISD_CA_COL_LIST_Click</t>
  </si>
  <si>
    <t>ISD_CA_COL_LIST_Click_(1)</t>
  </si>
  <si>
    <t>ISD_CA_ROW_LIST_Click</t>
  </si>
  <si>
    <t>ISD_CA_ROW_LIST_Click_(1)</t>
  </si>
  <si>
    <t>ISD_CANCEL_Click</t>
  </si>
  <si>
    <t>ISD_CANCEL_Click_(1)</t>
  </si>
  <si>
    <t>ISD_FP_COL_LIST_Click</t>
  </si>
  <si>
    <t>ISD_FP_COL_LIST_Click_(1)</t>
  </si>
  <si>
    <t>ISD_FP_ROW_LIST_Click</t>
  </si>
  <si>
    <t>ISD_FP_ROW_LIST_Click_(1)</t>
  </si>
  <si>
    <t>ISD_GO_Click</t>
  </si>
  <si>
    <t>ISD_GO_Click_(1)</t>
  </si>
  <si>
    <t>ISD_NUMBER_SPINNER_SpinDown</t>
  </si>
  <si>
    <t>ISD_NUMBER_SPINNER_SpinDown_(1)</t>
  </si>
  <si>
    <t>ISD_NUMBER_SPINNER_SpinUp</t>
  </si>
  <si>
    <t>ISD_NUMBER_SPINNER_SpinUp_(1)</t>
  </si>
  <si>
    <t>RunPythonPreprocessor</t>
  </si>
  <si>
    <t>RunPythonPreprocessor_(1)</t>
  </si>
  <si>
    <t>SetProtectedSheets</t>
  </si>
  <si>
    <t>SetProtectedSheets_(1)</t>
  </si>
  <si>
    <t>IsProtectedSheet</t>
  </si>
  <si>
    <t>IsProtectedSheet_(1)</t>
  </si>
  <si>
    <t>SetRGBNameIndex</t>
  </si>
  <si>
    <t>SetRGBNameIndex_(1)</t>
  </si>
  <si>
    <t>ReadPythonCSV</t>
  </si>
  <si>
    <t>ReadPythonCSV_(1)</t>
  </si>
  <si>
    <t>UpdateUsedColors</t>
  </si>
  <si>
    <t>UpdateUsedColors_(1)</t>
  </si>
  <si>
    <t>BuildColorDictionary</t>
  </si>
  <si>
    <t>BuildColorDictionary_(1)</t>
  </si>
  <si>
    <t>PythonGetClosestColorName</t>
  </si>
  <si>
    <t>PythonGetClosestColorName_(1)</t>
  </si>
  <si>
    <t>Prepare_ISD_FORM</t>
  </si>
  <si>
    <t>Prepare_ISD_FORM_(1)</t>
  </si>
  <si>
    <t>EnableISD_GO</t>
  </si>
  <si>
    <t>EnableISD_GO_(1)</t>
  </si>
  <si>
    <t>Cancel_ISD</t>
  </si>
  <si>
    <t>Cancel_ISD_(1)</t>
  </si>
  <si>
    <t>StepdownImage</t>
  </si>
  <si>
    <t>StepdownImage_(1)</t>
  </si>
  <si>
    <t>DeleteAndRecreateSheet</t>
  </si>
  <si>
    <t>DeleteAndRecreateSheet_(1)</t>
  </si>
  <si>
    <t>ProvideSummaryColor</t>
  </si>
  <si>
    <t>(rUpperLeft As Range, iRowsTotal As Integer, iColsTotal As Integer) As String</t>
  </si>
  <si>
    <t>ProvideSummaryColor_(1)</t>
  </si>
  <si>
    <t>RebuildColorDictionary</t>
  </si>
  <si>
    <t>(wsSheet As Worksheet)</t>
  </si>
  <si>
    <t>RebuildColorDictionary_(1)</t>
  </si>
  <si>
    <t>ReduceNumberOfColors</t>
  </si>
  <si>
    <t>(wsSheet As Worksheet, iMaxColors As Integer)</t>
  </si>
  <si>
    <t>ReduceNumberOfColors_(1)</t>
  </si>
  <si>
    <t>NumberUsedColors</t>
  </si>
  <si>
    <t>NumberUsedColors_(1)</t>
  </si>
  <si>
    <t>LeastUsedColor</t>
  </si>
  <si>
    <t>LeastUsedColor_(1)</t>
  </si>
  <si>
    <t>ApplyColorLetters</t>
  </si>
  <si>
    <t>ApplyColorLetters_(1)</t>
  </si>
  <si>
    <t>DumpNamedColors</t>
  </si>
  <si>
    <t>DumpNamedColors_(1)</t>
  </si>
  <si>
    <t>SetupImageFilters</t>
  </si>
  <si>
    <t>SetupImageFilters_(1)</t>
  </si>
  <si>
    <t>clsXY_Sets.AddPair</t>
  </si>
  <si>
    <t>(clsRowCol As clsRowColPair)</t>
  </si>
  <si>
    <t>clsXY_Sets.AddPair_(1)</t>
  </si>
  <si>
    <t>CSV_StringFromColor_(1)
RGBtoHSV_(1)
DistanceFromColorBlack_(1)
CSV_Term_(1)</t>
  </si>
  <si>
    <t xml:space="preserve"> user asked to read in python generated space separated value file</t>
  </si>
  <si>
    <t xml:space="preserve"> user asked to step down the python raw image</t>
  </si>
  <si>
    <t>PopulateColorboxHistory_(1)
RebuildrgbNameSheet_(1)
PopulateSwatches_(1)
PopulateMixerArray_(1)
PopulateInventory_(1)</t>
  </si>
  <si>
    <t>RebuildrgbNameSheet_(1)
UpdateClosestLabel_(1)
ContrastingColorForText_(1)
BW_TextColorForColor_(1)</t>
  </si>
  <si>
    <t xml:space="preserve"> user entered a capture area col value</t>
  </si>
  <si>
    <t xml:space="preserve"> user entered a capture are row value</t>
  </si>
  <si>
    <t xml:space="preserve"> user asked to cancel</t>
  </si>
  <si>
    <t xml:space="preserve"> user entered as favored point col value</t>
  </si>
  <si>
    <t xml:space="preserve"> user entered a favored point row value</t>
  </si>
  <si>
    <t>ISD_CA_COL_LIST_Click_(1)
ISD_CA_ROW_LIST_Click_(1)
ISD_FP_COL_LIST_Click_(1)
ISD_FP_ROW_LIST_Click_(1)</t>
  </si>
  <si>
    <t xml:space="preserve"> user said "go"</t>
  </si>
  <si>
    <t xml:space="preserve"> runs the Python preprocessor that transforms images into csv fiiles.</t>
  </si>
  <si>
    <t xml:space="preserve"> sets up the array of protected sheet names</t>
  </si>
  <si>
    <t xml:space="preserve"> returns true of if the input name is the name of a protected sheet (should not be deleted)</t>
  </si>
  <si>
    <t xml:space="preserve"> sets the range variable rRGB_NameIndex</t>
  </si>
  <si>
    <t xml:space="preserve"> reads the current sheet presumed to be a csv dump of the cells making up an image
 and updates a sheet named "image" with a the image. The cells contain the color name to be applied and are colored per the name
 the RGBName file is used for color names, limited to "her" prefixed colors
 each csv triplet value in the input sheet is mapped to the closest allowable color</t>
  </si>
  <si>
    <t xml:space="preserve"> reads read the NamedColors dictionary and clears and repopultes the Used Colors Sheet</t>
  </si>
  <si>
    <t xml:space="preserve"> creates a dictionary calls dNamedColor which has an entry for each "her" color in the RGBName sheet</t>
  </si>
  <si>
    <t>SetRGBNameIndex_(1)
ColorValueForRGBName_(1)</t>
  </si>
  <si>
    <t xml:space="preserve"> initializes the image step down form</t>
  </si>
  <si>
    <t xml:space="preserve"> enables the go button in the image step down userform if valid data is present</t>
  </si>
  <si>
    <t xml:space="preserve"> used to indicate that the image step down function is to be cancelled</t>
  </si>
  <si>
    <t xml:space="preserve"> steps the image (the current worksheet) down to a smaller image size and to a limited number of colors (max 52)
 also replaces the color names with letters and updates the swatch table</t>
  </si>
  <si>
    <t>CB_HandleCellUpdate_(1)
CB_ShowCellValue_(1)
HandleCellSelection_(1)
ConfigureForLeftSourceColors_(1)
ColorBoxMainDriver_(1)
BuildPallet_(1)
ReadPythonCSV_(1)
StepdownImage_(1)</t>
  </si>
  <si>
    <t>ReadPythonCSV_(1)
BuildColorDictionary_(1)
StepdownImage_(1)</t>
  </si>
  <si>
    <t>ReadPythonCSV_(1)
StepdownImage_(1)</t>
  </si>
  <si>
    <t>CB_MakeColorAssignment_(1)
SetupConstants_(1)
ExtractColorNameAndRGBColorsFromLabel_(1)
BuildPallet_(1)
ReadPythonCSV_(1)
BuildColorDictionary_(1)
StepdownImage_(1)</t>
  </si>
  <si>
    <t xml:space="preserve"> given a starting cell and a number of rows and columns that make up a larger square starting the the upper left
 reads the cells in the square and returns the dominant color for the square</t>
  </si>
  <si>
    <t xml:space="preserve"> sets the number of each color in the color dictionary</t>
  </si>
  <si>
    <t>ReadPythonCSV_(1)
RebuildColorDictionary_(1)</t>
  </si>
  <si>
    <t xml:space="preserve"> brings the number of used colors in the worksheet down to the maxcolors value
 the routine assumes that
       the cells contain rgnNames and
        that the dNamedColors dictionary (which contains names and usage counts) is populated</t>
  </si>
  <si>
    <t>ReadPythonCSV_(1)
StepdownImage_(1)
ReduceNumberOfColors_(1)</t>
  </si>
  <si>
    <t>ReadPythonCSV_(1)
ReduceNumberOfColors_(1)</t>
  </si>
  <si>
    <t>NumberUsedColors_(1)
UpdateUsedColors_(1)
LeastUsedColor_(1)
PythonGetClosestColorName_(1)</t>
  </si>
  <si>
    <t xml:space="preserve"> returns the number of used, unblocked colors</t>
  </si>
  <si>
    <t xml:space="preserve"> returns the name of the least used color in the color dictionary
 the color must be used at least once and cannot be blocked</t>
  </si>
  <si>
    <t xml:space="preserve"> applies the color name to letter mappings currently in UsedColors
 and updates the swatchList accordingly</t>
  </si>
  <si>
    <t>UpdateNameInSwatches_(1)
CB_ColorCell_(1)
CB_MakeColorAssignment_(1)
ConfigureForLeftSourceColors_(1)
ToFromEnableButtons_(1)
CB_SwapLetters_(1)
UpdateCounts_(1)
SelectedRGB_(1)
SelectedColor_(1)
SheetSwatchOffsetForLetter_(1)
FirstSheetSwatchCharacter_(1)
PopulateSwatches_(1)
CB_MoveSwatch_(1)
PopulateInventory_(1)
ColorUsedByLetters_(1)
ColorForChar_(1)
ColorNameForLetter_(1)
ApplyColorLetters_(1)</t>
  </si>
  <si>
    <t xml:space="preserve"> reads in contents of ImageFilter Page and builds cFilters collection out of it.</t>
  </si>
  <si>
    <t xml:space="preserve"> user asked to run the python based image preprocessor</t>
  </si>
  <si>
    <t xml:space="preserve"> user want fewer colors</t>
  </si>
  <si>
    <t xml:space="preserve"> user wants more colors</t>
  </si>
  <si>
    <t xml:space="preserve"> get rid of the old reduced sheet (mostly to get rid of the code associated with the worksheet)</t>
  </si>
  <si>
    <t xml:space="preserve"> adds a clsRowCol class to the set</t>
  </si>
  <si>
    <t>herPink</t>
  </si>
  <si>
    <t>herPalePink</t>
  </si>
  <si>
    <t>SP_PYTHON_EXECUTABLE_PATH</t>
  </si>
  <si>
    <t>C:\Users\jandy\Desktop\PrepareImageForColorbox\PrepareImageForColorbox.exe</t>
  </si>
  <si>
    <t>GetHelpFilePathFromUser</t>
  </si>
  <si>
    <t>GetHelpFilePathFromUser_(1)</t>
  </si>
  <si>
    <t>GetFilePathFromUser</t>
  </si>
  <si>
    <t>(sStartingPath As String, sTitle As String) As String</t>
  </si>
  <si>
    <t>GetFilePathFromUser_(1)</t>
  </si>
  <si>
    <t>CB_COLOR_DISTANCE_SPINNER3_SpinDown</t>
  </si>
  <si>
    <t>CB_COLOR_DISTANCE_SPINNER3_SpinDown_(1)</t>
  </si>
  <si>
    <t>CB_COLOR_DISTANCE_SPINNER3_SpinUp</t>
  </si>
  <si>
    <t>CB_COLOR_DISTANCE_SPINNER3_SpinUp_(1)</t>
  </si>
  <si>
    <t>CBMF_COLORBOX_PATH_Click</t>
  </si>
  <si>
    <t>CBMF_COLORBOX_PATH_Click_(1)</t>
  </si>
  <si>
    <t>CBMF_PYTHON_LIMIT_COLORS_Click</t>
  </si>
  <si>
    <t>CBMF_PYTHON_LIMIT_COLORS_Click_(1)</t>
  </si>
  <si>
    <t>CBMF_PYTHON_PATH_DblClick</t>
  </si>
  <si>
    <t>CBMF_PYTHON_PATH_DblClick_(1)</t>
  </si>
  <si>
    <t>GetPythonPathFromUser</t>
  </si>
  <si>
    <t>GetPythonPathFromUser_(1)</t>
  </si>
  <si>
    <t>reads helppath from GUI, the opens explorer to select new file from the old directory.
 takes response from the explorer and updates help path on the GUI.
  does not update the sysparm</t>
  </si>
  <si>
    <t>GetFilePathFromUser_(1)
CB_VALIDATE_HELPPATH_(1)</t>
  </si>
  <si>
    <t xml:space="preserve"> save the current path so we can restore it</t>
  </si>
  <si>
    <t>CB_COLOR_DISTANCE_SPINNER1_SpinDown_(1)
CB_COLOR_DISTANCE_SPINNER1_SpinUp_(1)
CB_COLOR_DISTANCE_SPINNER2_SpinDown_(1)
CB_COLOR_DISTANCE_SPINNER2_SpinUp_(1)
CB_COLOR_DISTANCE_SPINNER3_SpinDown_(1)
CB_COLOR_DISTANCE_SPINNER3_SpinUp_(1)</t>
  </si>
  <si>
    <t>CB_LOG_(1)
GetHelpFilePathFromUser_(1)</t>
  </si>
  <si>
    <t>FlipIt_(1)
CB_QZ_25_Click_(1)</t>
  </si>
  <si>
    <t>CB_HELPPATH_DblClick_(1)
CBMF_COLORBOX_PATH_Click_(1)</t>
  </si>
  <si>
    <t>GetHelpFilePathFromUser_(1)
ColorBoxMainDriver_(1)
CBMF_COLORBOX_PATH_Click_(1)</t>
  </si>
  <si>
    <t>CB_LOG_(1)
GetHelpFilePathFromUser_(1)
CB_VALIDATE_HELPPATH_(1)</t>
  </si>
  <si>
    <t xml:space="preserve"> returns the closest color name in the dictionary for the given r, g and b values
  it will not return colored defined as "blocked" in the dNamedColor dictionary
   note that dNamedColor dictionary may be filtered by name</t>
  </si>
  <si>
    <t>UpdateClosestDefinedColors_(1)
PythonGetClosestColorName_(1)</t>
  </si>
  <si>
    <t>UpdateCB_Sample_(1)
CNC_StoreNewColor_(1)
CNC_UpdateExistingColorForName_(1)
FadeUnder_(1)
Brite2Under_(1)
DarkUnder_(1)
Fade_(1)
PopulateMixerArray_(1)
CB_MIXER_CHANGE_COLOR_(1)
ExtractColorNameAndRGBColorsFromLabel_(1)
ColorAsGradient_(1)
ReadPythonCSV_(1)
PythonGetClosestColorName_(1)</t>
  </si>
  <si>
    <t>UpdateClosestDefinedColors_(1)
ClosestRGBNameColor_(1)
PythonGetClosestColorName_(1)</t>
  </si>
  <si>
    <t>GetColorDistanceMethod_(1)
ColorFromRGBValues_(1)
DistanceBetweenRGBValues_(1)
RGBAngle_(1)
DetermineHSV_DistancesBetweenColors_(1)</t>
  </si>
  <si>
    <t>RestoreFromFile_(1)
FlipIt_(1)
MirrorSelectionRight_(1)
MirrorSelectionDown_(1)
CB_FIND_REPAINT_Click_(1)
CB_REPAINT_Click_(1)
StepdownImage_(1)</t>
  </si>
  <si>
    <t>CB_CONFIGURE_SHEET_Click_(1)
StepdownImage_(1)</t>
  </si>
  <si>
    <t>DumpNamedColors_(1)
SheetSwatchCharacterIndex_(1)</t>
  </si>
  <si>
    <t xml:space="preserve"> user asked to upda the python executable path</t>
  </si>
  <si>
    <t>CB_LOG_(1)
ReadPythonCSV_(1)</t>
  </si>
  <si>
    <t xml:space="preserve"> user asked to update the path for the python executable</t>
  </si>
  <si>
    <t>CB_LOG_(1)
GetPythonPathFromUser_(1)</t>
  </si>
  <si>
    <t>CB_LOG_(1)
RunPythonPreprocessor_(1)</t>
  </si>
  <si>
    <t xml:space="preserve"> services the request to let the user update the python executable path, then calls to validate the entry</t>
  </si>
  <si>
    <t xml:space="preserve"> validates user entered python executable path, updates the GUI, enables the funciton, and updates sys parms if the executable is found</t>
  </si>
  <si>
    <t>herCornflower</t>
  </si>
  <si>
    <t>herBlueViolet</t>
  </si>
  <si>
    <t>herDarkCornflower</t>
  </si>
  <si>
    <t>herSeaGreen</t>
  </si>
  <si>
    <t>herPaleGreen</t>
  </si>
  <si>
    <t>herLime</t>
  </si>
  <si>
    <t>herMediumForestGreen</t>
  </si>
  <si>
    <t>herMediumTeal</t>
  </si>
  <si>
    <t>herRainforest</t>
  </si>
  <si>
    <t>herDarkRed</t>
  </si>
  <si>
    <t>herRed</t>
  </si>
  <si>
    <t>herBrightRed</t>
  </si>
  <si>
    <t>COLORBOX_HELP_1_5.bas</t>
  </si>
  <si>
    <t xml:space="preserve"> updates the GUI display of the number of cells which use each letter/color.
 also rebuilds the inventory</t>
  </si>
  <si>
    <t xml:space="preserve"> user updated the pyhton color limit</t>
  </si>
  <si>
    <t>SetupConstants_(1)
AskQuestionForTrueFalse_(1)
DeleteAndRecreateSheet_(1)
SetRGBNameIndex_(1)
BuildColorDictionary_(1)
ColorFromRGBValues_(1)
PythonGetClosestColorName_(1)
ColorValueForRGBName_(1)
UpdateUsedColors_(1)
ClearOverride_(1)</t>
  </si>
  <si>
    <t>BuildPallet_(1)
ReadPythonCSV_(1)
StepdownImage_(1)</t>
  </si>
  <si>
    <t>CB_SwapLetters_(1)
CB_ColorSelectedArea_(1)
ReassignArea_(1)
ColorBoxMainDriver_(1)
CB_ALL_REASSIGN_Click_(1)
CB_AREA_REASSIGN_Click_(1)
CB_UPDATE_COUNTS2_Click_(1)
CB_MOVESWATCH_SP_SpinDown_(1)
CB_MOVESWATCH_SP_SpinUp_(1)
CB_RefreshCount_Click_(1)
CB_MOVESWATCH2_SP_SpinDown_(1)
CB_MOVESWATCH2_SP_SpinUp_(1)
PopulateSwatches_(1)
StepdownImage_(1)</t>
  </si>
  <si>
    <r>
      <t>1_5</t>
    </r>
    <r>
      <rPr>
        <sz val="10"/>
        <color rgb="FF000000"/>
        <rFont val="Calibri"/>
        <family val="2"/>
        <scheme val="minor"/>
      </rPr>
      <t xml:space="preserve">  1_4  1_3  1_2  1_1  1_0</t>
    </r>
  </si>
  <si>
    <r>
      <t>02/25/24</t>
    </r>
    <r>
      <rPr>
        <sz val="10"/>
        <color theme="1"/>
        <rFont val="Calibri"/>
        <family val="2"/>
        <scheme val="minor"/>
      </rPr>
      <t xml:space="preserve"> 02/15/24 01/09/24 11/06/23 11/05/23 11/1/2023</t>
    </r>
  </si>
  <si>
    <t>$MW$31:$NW$49_x000D_
herPaleSage_x000D_
herSpringGreen_x000D_
herVanilla_x000D_
herLightAqua_x000D_
herGrey_x000D_
herMediumGrey_x000D_
herLime_x000D_
herGreen_x000D_
herPaleYellow_x000D_
herPaleGreen_x000D_
herYellow_x000D_
herBrightYellow</t>
  </si>
  <si>
    <t>COLORBOX_REPORTS_1_8.bas</t>
  </si>
  <si>
    <t>COLORBOX_MAIN_GUI_2_8.bas</t>
  </si>
  <si>
    <t>2_8</t>
  </si>
  <si>
    <t>COLORBOX_FIND_CHANGE_3_0.bas</t>
  </si>
  <si>
    <t>3_0</t>
  </si>
  <si>
    <t>COLORBOX_COLOR_UTIL_2_0.bas</t>
  </si>
  <si>
    <t>2_0</t>
  </si>
  <si>
    <t>COLORBOX_POPUP</t>
  </si>
  <si>
    <t>(rRange As Range) As Collection</t>
  </si>
  <si>
    <t>UniqueValuesInArea</t>
  </si>
  <si>
    <t>UniqueValuesInArea_(1)</t>
  </si>
  <si>
    <t>(rRange As Range)</t>
  </si>
  <si>
    <t>CB_ReportInvalidCells</t>
  </si>
  <si>
    <t>CB_ReportInvalidCells_(1)</t>
  </si>
  <si>
    <t>IsNextTo</t>
  </si>
  <si>
    <t>(rCellA As Range, rCellB As Range) As Boolean</t>
  </si>
  <si>
    <t>IsNextTo_(1)</t>
  </si>
  <si>
    <t>CB_Enable_Popup_Click</t>
  </si>
  <si>
    <t>CB_Enable_Popup_Click_(1)</t>
  </si>
  <si>
    <t>CB_REPORT_INVALID_Click</t>
  </si>
  <si>
    <t>CB_REPORT_INVALID_Click_(1)</t>
  </si>
  <si>
    <t>CB_REPORTS_UNIQUE_ITEMS_Click</t>
  </si>
  <si>
    <t>CB_REPORTS_UNIQUE_ITEMS_Click_(1)</t>
  </si>
  <si>
    <t>GetInventoryCellForColorName</t>
  </si>
  <si>
    <t>(sColorName As String) As Range</t>
  </si>
  <si>
    <t>GetInventoryCellForColorName_(1)</t>
  </si>
  <si>
    <t>CB_Present_Popup</t>
  </si>
  <si>
    <t>CB_Present_Popup_(1)</t>
  </si>
  <si>
    <t>CB_EnablePopup</t>
  </si>
  <si>
    <t>CB_EnablePopup_(1)</t>
  </si>
  <si>
    <t>DisablePopUp</t>
  </si>
  <si>
    <t>DisablePopUp_(1)</t>
  </si>
  <si>
    <t>quicky</t>
  </si>
  <si>
    <t>quicky_(1)</t>
  </si>
  <si>
    <t>CreateShortcut</t>
  </si>
  <si>
    <t>CreateShortcut_(1)</t>
  </si>
  <si>
    <t>AddSubMenuControl</t>
  </si>
  <si>
    <t>(cPopup As CommandBarControl, sCallback As String, sParam As String, sCaption As String, iFaceid As Integer)</t>
  </si>
  <si>
    <t>AddSubMenuControl_(1)</t>
  </si>
  <si>
    <t>AddMainMenuControl</t>
  </si>
  <si>
    <t>(cPopup As CommandBar, sCallback As String, sParam As String, sCaption As String, iFaceid As Integer)</t>
  </si>
  <si>
    <t>AddMainMenuControl_(1)</t>
  </si>
  <si>
    <t>WriteLetter</t>
  </si>
  <si>
    <t>(sLetter As String)</t>
  </si>
  <si>
    <t>WriteLetter_(1)</t>
  </si>
  <si>
    <t>ShowLetter</t>
  </si>
  <si>
    <t>(sOption As String)</t>
  </si>
  <si>
    <t>ShowLetter_(1)</t>
  </si>
  <si>
    <t>ChangeCase</t>
  </si>
  <si>
    <t>ChangeCase_(1)</t>
  </si>
  <si>
    <t>UpdateLetterHistory</t>
  </si>
  <si>
    <t>UpdateLetterHistory_(1)</t>
  </si>
  <si>
    <t>DumpLetterHistory</t>
  </si>
  <si>
    <t>DumpLetterHistory_(1)</t>
  </si>
  <si>
    <t>ShellSortDescending</t>
  </si>
  <si>
    <t>(ByRef InputArray() As String, N As Integer) As String()</t>
  </si>
  <si>
    <t>ShellSortDescending_(1)</t>
  </si>
  <si>
    <t>AddColorBoxToCellMenu</t>
  </si>
  <si>
    <t>AddColorBoxToCellMenu_(1)</t>
  </si>
  <si>
    <t>CBPOP_FlipSwatches</t>
  </si>
  <si>
    <t>CBPOP_FlipSwatches_(1)</t>
  </si>
  <si>
    <t>CBPOP_LoadColorBox</t>
  </si>
  <si>
    <t>(sPage As String)</t>
  </si>
  <si>
    <t>CBPOP_LoadColorBox_(1)</t>
  </si>
  <si>
    <t>CNC_OpenNewColorForm_(1)
UniqueValuesInArea_(1)</t>
  </si>
  <si>
    <t>IsCellSelected_(1)
UniqueItemsInRange_(1)
ColorNameForLetter_(1)</t>
  </si>
  <si>
    <t xml:space="preserve"> shows the GUI in the Compressed form, with only the swatches and a few controls showing
 hides the other GUI panels. Used to present a thin list of colors only.</t>
  </si>
  <si>
    <t>IsValidSymbol_(1)
IsNextTo_(1)</t>
  </si>
  <si>
    <t>SetDefaultCellSize_(1)
ProvideAddInStatus_(1)
ForceConfirm_(1)
CB_HandleCellUpdate_(1)
HandleCellSelection_(1)</t>
  </si>
  <si>
    <t>UniqueValuesInArea_(1)
SetCenterPointToSelectedCell_(1)
CB_StartSelection_(1)
CB_EndSelection_(1)
Selection_EnableButtons_(1)
MirrorSelectionRight_(1)
MirrorSelectionDown_(1)
AreaEnableButtons_(1)
CB_DoRepaintSelection_(1)
CB_ClearSelection_(1)
DisplayColorChangeAsTest_(1)
CB_FindNext_(1)
DisplayLettersAroundSelectedCell_(1)
FindNextError_(1)
ToFromEnableButtons_(1)
CB_ColorSelectedArea_(1)
ReassignArea_(1)
CB_FadeSelected_(1)
CB_ZOOM_ON_SELECTED_(1)
PutLettersInArea_(1)
CBLP_SetPastePoint_(1)
BuildFindFlashArea_(1)
CBLP_EnableButtons_(1)
CBLP_Build_aPolygonForSelectedArea_(1)
ColorBoxMainDriver_(1)
ValidateDoUndo_(1)</t>
  </si>
  <si>
    <t xml:space="preserve"> user requested a list of invalid cells</t>
  </si>
  <si>
    <t>CB_LOG_(1)
CB_ReportInvalidCells_(1)</t>
  </si>
  <si>
    <t xml:space="preserve"> user wants a report of unique items in area</t>
  </si>
  <si>
    <t>CB_LOG_(1)
UniqueValuesInArea_(1)</t>
  </si>
  <si>
    <t>SheetSwatchCharacterIndex_(1)
UpdateCounts_(1)
GetCase_(1)
LetterUsageCount_(1)
BW_TextColorForColor_(1)
CSV_StringFromColor_(1)
GetInventoryCellForColorName_(1)
CB_UpdateLegendSheet_(1)</t>
  </si>
  <si>
    <t xml:space="preserve"> returns the cell the inventory name list (RGBName sheet, first column) for an input color name</t>
  </si>
  <si>
    <t>CNC_OpenNewColorForm_(1)
CNC_EnableButtons_(1)
IsNameInInventory_(1)
CNC_NewNameEdit_(1)
CNC_StoreNewColor_(1)
CNC_DeleteExistingColorName_(1)
CNC_ChangeColorName_(1)
CNC_UpdateExistingColorForName_(1)
GetSelectedListEntryInventoryLocation_(1)
CSVFromColorName_(1)
GetInventoryCellForColorName_(1)
ColorValueForRGBName_(1)</t>
  </si>
  <si>
    <t xml:space="preserve"> called by roght click on a colorbox enable worksheet cell, brings up a custom menu</t>
  </si>
  <si>
    <t xml:space="preserve"> sets state variable to allow popup to true</t>
  </si>
  <si>
    <t xml:space="preserve"> sets state varible to allow popup to false (allow normal Excel Cell window to sbow)</t>
  </si>
  <si>
    <t xml:space="preserve"> test code, used to look at all of the excel command bars</t>
  </si>
  <si>
    <t xml:space="preserve"> creates a short cut popup menu for colorbox.
 includes
  the color of the upper leftmost selected cell
  controls to show/hide letters
 access to specific colorbox pages
 the 10 last used unique colors
 a control to disable this popup</t>
  </si>
  <si>
    <t>UniqueValuesInArea_(1)
CBDC_EnableButtons_(1)
UpdateCurrentLetter_(1)
CB_FindUsage_(1)
CB_FindNext_(1)
ToFromEnableButtons_(1)
CB_SwapLetters_(1)
CBLP_EnableButtons_(1)
ExtractColorNameAndRGBColorsFromLabel_(1)
CB_UpdateLegendSheet_(1)
CreateShortcut_(1)</t>
  </si>
  <si>
    <t>ColorNameForLetter_(1)
AddSubMenuControl_(1)
AddMainMenuControl_(1)
ShellSortDescending_(1)
IsValidSymbol_(1)</t>
  </si>
  <si>
    <t xml:space="preserve"> adds a menu item to a SUB MENU command bar, setting the callback (with an optional parameter) , caption and a symbol (face id)
 call with NO_PARM if no parameter is desired</t>
  </si>
  <si>
    <t xml:space="preserve"> adds a menu item to a POPUP  menu command bar, setting the callback (with an optional parameter) , caption and a symbol (face id)
 call with NO_PARM if no parameter is desired</t>
  </si>
  <si>
    <t xml:space="preserve"> writes an input letter to a cell. called from pop up</t>
  </si>
  <si>
    <t xml:space="preserve"> popup called function to hide/show letters</t>
  </si>
  <si>
    <t>CB_HIDE_AREA_LETTERS_Click_(1)
CB_SHOW_AREA_LETTERS_Click_(1)
ShowLetter_(1)</t>
  </si>
  <si>
    <t xml:space="preserve"> pop up function to flip the case of a cell's content</t>
  </si>
  <si>
    <t xml:space="preserve"> adds letter to letter history array if it is not already present, deleting the oldest item</t>
  </si>
  <si>
    <t>SetCBDC_ColALpha_(1)
CBDC_EnableButtons_(1)
CBLP_EnableButtons_(1)
CBLP_CACHE_SYMBOL_(1)
ColorTextBox_(1)
ColorComboBox_(1)
UpdateLetterHistory_(1)</t>
  </si>
  <si>
    <t xml:space="preserve"> string sorting routine
 requires a(1..N)</t>
  </si>
  <si>
    <t xml:space="preserve"> added a menu item to the EXCEL CELL popup.</t>
  </si>
  <si>
    <t xml:space="preserve"> flips the state with respect to the showing of unused swatches. Called from popup</t>
  </si>
  <si>
    <t xml:space="preserve"> called from pop up.  Loads the requested multipage menu.
 if called with "none_just_colors" the colorbox GUI is loaded and then pushed into the just color display mode</t>
  </si>
  <si>
    <t>CB_RESET_Click_(1)
CBPOP_LoadColorBox_(1)</t>
  </si>
  <si>
    <t>HandleOptionDblClick_(1)
CBPOP_LoadColorBox_(1)</t>
  </si>
  <si>
    <t>CB_ShowJustColors_(1)
ColorBoxMainDriver_(1)
CB_ToolBox_Click_(1)
CBPOP_LoadColorBox_(1)</t>
  </si>
  <si>
    <t>ColorBoxMainDriver_(1)
GotoMultipageTab_(1)
ProcessMultiPageSelection_(1)</t>
  </si>
  <si>
    <r>
      <t>02/28/24</t>
    </r>
    <r>
      <rPr>
        <sz val="10"/>
        <color theme="1"/>
        <rFont val="Calibri"/>
        <family val="2"/>
        <scheme val="minor"/>
      </rPr>
      <t xml:space="preserve"> 11/10/23 11/10/2023</t>
    </r>
  </si>
  <si>
    <r>
      <t>2_0</t>
    </r>
    <r>
      <rPr>
        <sz val="10"/>
        <color rgb="FF000000"/>
        <rFont val="Calibri"/>
        <family val="2"/>
        <scheme val="minor"/>
      </rPr>
      <t xml:space="preserve">  1_9  1_8  1_7  1_6A  1_6  1_4  1_3  1_2A  1_2  1_1  1_0</t>
    </r>
  </si>
  <si>
    <r>
      <t>03/03/24</t>
    </r>
    <r>
      <rPr>
        <sz val="10"/>
        <color theme="1"/>
        <rFont val="Calibri"/>
        <family val="2"/>
        <scheme val="minor"/>
      </rPr>
      <t xml:space="preserve"> 02/25/24 02/15/24 02/13/24 01/28/24 12/25/23 12/12/23 12/10/23 12/06/23 11/11/23 11/07/23 11/1/2023</t>
    </r>
  </si>
  <si>
    <r>
      <t>3_0</t>
    </r>
    <r>
      <rPr>
        <sz val="10"/>
        <color rgb="FF000000"/>
        <rFont val="Calibri"/>
        <family val="2"/>
        <scheme val="minor"/>
      </rPr>
      <t xml:space="preserve">  2_9  2_8a  2_8  2_7  2_6  2_5  2_3</t>
    </r>
  </si>
  <si>
    <r>
      <t>03/05/24</t>
    </r>
    <r>
      <rPr>
        <sz val="10"/>
        <color theme="1"/>
        <rFont val="Calibri"/>
        <family val="2"/>
        <scheme val="minor"/>
      </rPr>
      <t xml:space="preserve"> 02/15/24 01/23/24 01/21/24 01/10/24 01/04/24 01/01/24 12/22/2023</t>
    </r>
  </si>
  <si>
    <r>
      <t>2_8</t>
    </r>
    <r>
      <rPr>
        <sz val="10"/>
        <color rgb="FF000000"/>
        <rFont val="Calibri"/>
        <family val="2"/>
        <scheme val="minor"/>
      </rPr>
      <t xml:space="preserve">  2_7  2_5  2_4  2_3  2_2  2_1  2_0  1_9_2</t>
    </r>
  </si>
  <si>
    <r>
      <t>03/06/24</t>
    </r>
    <r>
      <rPr>
        <sz val="10"/>
        <color theme="1"/>
        <rFont val="Calibri"/>
        <family val="2"/>
        <scheme val="minor"/>
      </rPr>
      <t xml:space="preserve"> 03/04/24 02/15/24 01/21/24 01/12/24 01/09/24 01/07/24 01/05/24 12/30/2023</t>
    </r>
  </si>
  <si>
    <r>
      <t>1_8</t>
    </r>
    <r>
      <rPr>
        <sz val="10"/>
        <color rgb="FF000000"/>
        <rFont val="Calibri"/>
        <family val="2"/>
        <scheme val="minor"/>
      </rPr>
      <t xml:space="preserve">  1_7  1_6  1_5  1_4</t>
    </r>
  </si>
  <si>
    <r>
      <t>02/29/24</t>
    </r>
    <r>
      <rPr>
        <sz val="10"/>
        <color theme="1"/>
        <rFont val="Calibri"/>
        <family val="2"/>
        <scheme val="minor"/>
      </rPr>
      <t xml:space="preserve"> 12/18/23 12/09/23 11/13/23 11/13/2023</t>
    </r>
  </si>
  <si>
    <t xml:space="preserve"> puts a list of the unique values found in a selected area.
 if the values are single character letters, the current color mappings are included</t>
  </si>
  <si>
    <t xml:space="preserve"> generates output for CB_REPORT_BOX listing all of the cells/cell ranges that don't have
 valid colorbox values in them in the Used Range</t>
  </si>
  <si>
    <t xml:space="preserve"> returns true if cell A is directly left or right of cell B</t>
  </si>
  <si>
    <t>set up basics</t>
  </si>
  <si>
    <t>set up simple controls</t>
  </si>
  <si>
    <t>10x10 width changed</t>
  </si>
  <si>
    <t>10 x 10 depth changed</t>
  </si>
  <si>
    <t>change to waster percentage</t>
  </si>
  <si>
    <t>Change to Selected Area shape  mode</t>
  </si>
  <si>
    <t>show polygon/line boundary</t>
  </si>
  <si>
    <t>set up display structures</t>
  </si>
  <si>
    <t xml:space="preserve">set up forms controls </t>
  </si>
  <si>
    <t>set up show form</t>
  </si>
  <si>
    <t>set up simple validations</t>
  </si>
  <si>
    <t>change to polygon mode</t>
  </si>
  <si>
    <t>set up GUI Main config</t>
  </si>
  <si>
    <t>color prefix changed</t>
  </si>
  <si>
    <t>change to minimum leftover in reports</t>
  </si>
  <si>
    <t>Show names in swatch</t>
  </si>
  <si>
    <t>GUI color selected from list</t>
  </si>
  <si>
    <t>Populate color list marked selected color</t>
  </si>
  <si>
    <t>set up populate display structures</t>
  </si>
  <si>
    <t>set up cleanup</t>
  </si>
  <si>
    <t>Go Fast False</t>
  </si>
  <si>
    <t>Coloring Disabled False</t>
  </si>
  <si>
    <t>Color List Updates Suspended False</t>
  </si>
  <si>
    <t>Logging Disabled False</t>
  </si>
  <si>
    <t>Undo Disabled False</t>
  </si>
  <si>
    <t>COLOR BOX MAIN DRIVER LOADED</t>
  </si>
  <si>
    <t>SP_FILE_ONE</t>
  </si>
  <si>
    <t>C:\Users\jandy\Pictures\SnoopyTrimmed.png</t>
  </si>
  <si>
    <t>SP_FILE_TWO</t>
  </si>
  <si>
    <t>C:\Users\jandy\Pictures\RedTailedHawkTrimmed.jpg</t>
  </si>
  <si>
    <t>COLORBOX_BACKUP_2_8.bas</t>
  </si>
  <si>
    <t>COLORBOX_ADDIN_1_5.bas</t>
  </si>
  <si>
    <t>SortDictionary_1_0.bas</t>
  </si>
  <si>
    <t>SortDictionary</t>
  </si>
  <si>
    <t>clsFileDescriptor.cls</t>
  </si>
  <si>
    <t>clsFileDescriptor</t>
  </si>
  <si>
    <t>OpenDisplayFile</t>
  </si>
  <si>
    <t>(sPath As String)</t>
  </si>
  <si>
    <t>OpenDisplayFile_(1)</t>
  </si>
  <si>
    <t>CB_LINK_FILE1_DblClick</t>
  </si>
  <si>
    <t>CB_LINK_FILE1_DblClick_(1)</t>
  </si>
  <si>
    <t>CB_LINK_FILE2_Click</t>
  </si>
  <si>
    <t>CB_LINK_FILE2_Click_(1)</t>
  </si>
  <si>
    <t>CB_LINK_OPEN1_Click</t>
  </si>
  <si>
    <t>CB_LINK_OPEN1_Click_(1)</t>
  </si>
  <si>
    <t>CB_LINK_OPEN2_Click</t>
  </si>
  <si>
    <t>CB_LINK_OPEN2_Click_(1)</t>
  </si>
  <si>
    <t>GetUserFileEntryIntoLabel</t>
  </si>
  <si>
    <t>(msTB As MSForms.Label, sPrompt As String)</t>
  </si>
  <si>
    <t>GetUserFileEntryIntoLabel_(1)</t>
  </si>
  <si>
    <t>FlipShowLetters</t>
  </si>
  <si>
    <t>FlipShowLetters_(1)</t>
  </si>
  <si>
    <t>SortObjects</t>
  </si>
  <si>
    <t>SortObjects_(1)</t>
  </si>
  <si>
    <t>GetBackupPath_(1)
RemoveFileExtension_(1)
CountCharInString_(1)
SortObjects_(1)
SelectFromCollection_(1)
CB_LOG_(1)
ForceConfirm_(1)</t>
  </si>
  <si>
    <t xml:space="preserve"> user wants to enable the custom popup</t>
  </si>
  <si>
    <t xml:space="preserve"> user changing link file 1</t>
  </si>
  <si>
    <t>GetUserFileEntryIntoLabel_(1)
SetSysParmValue_(1)
CB_LOG_(1)</t>
  </si>
  <si>
    <t xml:space="preserve"> user changing link file 2</t>
  </si>
  <si>
    <t xml:space="preserve"> user opened link file 1</t>
  </si>
  <si>
    <t>CB_LOG_(1)
OpenDisplayFile_(1)</t>
  </si>
  <si>
    <t xml:space="preserve"> user opened link file 2</t>
  </si>
  <si>
    <t>CB_LINK_OPEN1_Click_(1)
CB_LINK_OPEN2_Click_(1)</t>
  </si>
  <si>
    <t>GetHelpFilePathFromUser_(1)
GetUserFileEntryIntoLabel_(1)
GetPythonPathFromUser_(1)</t>
  </si>
  <si>
    <t xml:space="preserve"> user asked to flip the show letters state
Stop</t>
  </si>
  <si>
    <t>SetSysParmValue_(1)
CB_LOG_(1)</t>
  </si>
  <si>
    <r>
      <t>03/04/24</t>
    </r>
    <r>
      <rPr>
        <sz val="10"/>
        <color theme="1"/>
        <rFont val="Calibri"/>
        <family val="2"/>
        <scheme val="minor"/>
      </rPr>
      <t xml:space="preserve"> 01/23/24 01/10/24 01/08/24 12/06/23 7/14/2023</t>
    </r>
  </si>
  <si>
    <r>
      <t>2_8</t>
    </r>
    <r>
      <rPr>
        <sz val="10"/>
        <color rgb="FF000000"/>
        <rFont val="Calibri"/>
        <family val="2"/>
        <scheme val="minor"/>
      </rPr>
      <t xml:space="preserve">  2_7  2_6  2_5  2_4  2_3</t>
    </r>
  </si>
  <si>
    <r>
      <t>03/07/24</t>
    </r>
    <r>
      <rPr>
        <sz val="10"/>
        <color theme="1"/>
        <rFont val="Calibri"/>
        <family val="2"/>
        <scheme val="minor"/>
      </rPr>
      <t xml:space="preserve"> 02/08/24 01/09/24 01/07/23 12/30/23 12/9/2023</t>
    </r>
  </si>
  <si>
    <t>COLORBOX_UTILITIES_2_7.bas</t>
  </si>
  <si>
    <t xml:space="preserve"> generic utility to open an windows explorer to identify a file and return the path to a Userform label</t>
  </si>
  <si>
    <t xml:space="preserve"> generic file open for display routine</t>
  </si>
  <si>
    <r>
      <t>2_7</t>
    </r>
    <r>
      <rPr>
        <sz val="10"/>
        <color rgb="FF000000"/>
        <rFont val="Calibri"/>
        <family val="2"/>
        <scheme val="minor"/>
      </rPr>
      <t xml:space="preserve">  2_6  2_5  2_4  2_2  2_1  1_12  1_11  1_10</t>
    </r>
  </si>
  <si>
    <r>
      <t>03/07/24</t>
    </r>
    <r>
      <rPr>
        <sz val="10"/>
        <color theme="1"/>
        <rFont val="Calibri"/>
        <family val="2"/>
        <scheme val="minor"/>
      </rPr>
      <t xml:space="preserve"> 01/25/24 01/09/24 12/25/23 12/20/23 12/12/23 12/06/23 11/01/23 10/25/2023</t>
    </r>
  </si>
  <si>
    <t>SP_PREPARE_IMAGE_FILENAME</t>
  </si>
  <si>
    <t>SP_CSV_PATH</t>
  </si>
  <si>
    <t>{</t>
  </si>
  <si>
    <t>|</t>
  </si>
  <si>
    <t>}</t>
  </si>
  <si>
    <t>~</t>
  </si>
  <si>
    <t>rgbDarkSeaGreen</t>
  </si>
  <si>
    <t>rgbLightBlue</t>
  </si>
  <si>
    <t>rgbLightSteelBlue</t>
  </si>
  <si>
    <t>rgbDarkSlateBlue</t>
  </si>
  <si>
    <t>rgbSteelBlue</t>
  </si>
  <si>
    <t>rgbMidnightBlue</t>
  </si>
  <si>
    <t>rgbSlateBlue</t>
  </si>
  <si>
    <t>rgbPaleGreen</t>
  </si>
  <si>
    <t>rgbCadetBlue</t>
  </si>
  <si>
    <t>rgbPowderBlue</t>
  </si>
  <si>
    <t>rgbPaleTurquoise</t>
  </si>
  <si>
    <t>rgbRoyalBlue</t>
  </si>
  <si>
    <t>rgbMediumPurple</t>
  </si>
  <si>
    <t>rgbCornflowerBlue</t>
  </si>
  <si>
    <t>rgbSkyBlue</t>
  </si>
  <si>
    <t>rgbTan</t>
  </si>
  <si>
    <t>rgbGold</t>
  </si>
  <si>
    <t>rgbGoldenrod</t>
  </si>
  <si>
    <t>rgbPaleGoldenrod</t>
  </si>
  <si>
    <t>rgbBurlyWood</t>
  </si>
  <si>
    <t>rgbDarkGoldenrod</t>
  </si>
  <si>
    <t>rgbDarkBlue</t>
  </si>
  <si>
    <t>rgbAliceBlue</t>
  </si>
  <si>
    <t>rgbLightGoldenrodYellow</t>
  </si>
  <si>
    <t>rgbMediumBlue</t>
  </si>
  <si>
    <t>rgbLightSkyBlue</t>
  </si>
  <si>
    <t>rgbSeashell</t>
  </si>
  <si>
    <t>rgbCornsilk</t>
  </si>
  <si>
    <t>rgbDarkRed</t>
  </si>
  <si>
    <t>rgbRed</t>
  </si>
  <si>
    <t></t>
  </si>
  <si>
    <t>€</t>
  </si>
  <si>
    <t></t>
  </si>
  <si>
    <t>‚</t>
  </si>
  <si>
    <t>ƒ</t>
  </si>
  <si>
    <t>„</t>
  </si>
  <si>
    <t>…</t>
  </si>
  <si>
    <t>†</t>
  </si>
  <si>
    <t>‡</t>
  </si>
  <si>
    <t>ˆ</t>
  </si>
  <si>
    <t>‰</t>
  </si>
  <si>
    <t>Š</t>
  </si>
  <si>
    <t>‹</t>
  </si>
  <si>
    <t>Œ</t>
  </si>
  <si>
    <t></t>
  </si>
  <si>
    <t>Ž</t>
  </si>
  <si>
    <t></t>
  </si>
  <si>
    <t></t>
  </si>
  <si>
    <t>‘</t>
  </si>
  <si>
    <t>’</t>
  </si>
  <si>
    <t>“</t>
  </si>
  <si>
    <t>”</t>
  </si>
  <si>
    <t>•</t>
  </si>
  <si>
    <t>–</t>
  </si>
  <si>
    <t>—</t>
  </si>
  <si>
    <t>˜</t>
  </si>
  <si>
    <t>™</t>
  </si>
  <si>
    <t>š</t>
  </si>
  <si>
    <t>›</t>
  </si>
  <si>
    <t>œ</t>
  </si>
  <si>
    <t></t>
  </si>
  <si>
    <t>ž</t>
  </si>
  <si>
    <t>Ÿ</t>
  </si>
  <si>
    <t> </t>
  </si>
  <si>
    <t>¡</t>
  </si>
  <si>
    <t>¢</t>
  </si>
  <si>
    <t>£</t>
  </si>
  <si>
    <t>¤</t>
  </si>
  <si>
    <t>¥</t>
  </si>
  <si>
    <t>¦</t>
  </si>
  <si>
    <t>§</t>
  </si>
  <si>
    <t>¨</t>
  </si>
  <si>
    <t>©</t>
  </si>
  <si>
    <t>ª</t>
  </si>
  <si>
    <t>«</t>
  </si>
  <si>
    <t>¬</t>
  </si>
  <si>
    <t>­</t>
  </si>
  <si>
    <t>®</t>
  </si>
  <si>
    <t>¯</t>
  </si>
  <si>
    <t>°</t>
  </si>
  <si>
    <t>±</t>
  </si>
  <si>
    <t>²</t>
  </si>
  <si>
    <t>³</t>
  </si>
  <si>
    <t>´</t>
  </si>
  <si>
    <t>µ</t>
  </si>
  <si>
    <t>¶</t>
  </si>
  <si>
    <t>·</t>
  </si>
  <si>
    <t>¸</t>
  </si>
  <si>
    <t>¹</t>
  </si>
  <si>
    <t>º</t>
  </si>
  <si>
    <t>»</t>
  </si>
  <si>
    <t>¼</t>
  </si>
  <si>
    <t>½</t>
  </si>
  <si>
    <t>¾</t>
  </si>
  <si>
    <t>¿</t>
  </si>
  <si>
    <t>À</t>
  </si>
  <si>
    <t>Á</t>
  </si>
  <si>
    <t>Â</t>
  </si>
  <si>
    <t>Ã</t>
  </si>
  <si>
    <t>Ä</t>
  </si>
  <si>
    <t>COLORBOX_POLYGON_CORE_1_6.bas</t>
  </si>
  <si>
    <t>1_6</t>
  </si>
  <si>
    <t>COLORBOX_UNDO_2_3.bas</t>
  </si>
  <si>
    <t>COLORBOX_COLORED_ELEMENTS_3_6.bas</t>
  </si>
  <si>
    <t>3_6</t>
  </si>
  <si>
    <t>COLOR_PYTHON_1_6.bas</t>
  </si>
  <si>
    <t>clsDynamicLabel.labelEvents_MouseUp</t>
  </si>
  <si>
    <t>(ByVal Button As Integer, ByVal Shift As Integer, ByVal X As Single, ByVal Y As Single)</t>
  </si>
  <si>
    <t>clsDynamicLabel.labelEvents_MouseUp_(1)</t>
  </si>
  <si>
    <t>CBMF_IMPORT_CSV_FILENAME_Click</t>
  </si>
  <si>
    <t>CBMF_IMPORT_CSV_FILENAME_Click_(1)</t>
  </si>
  <si>
    <t>CBMF_PREPARE_IMAGE_FILENAME_Click</t>
  </si>
  <si>
    <t>CBMF_PREPARE_IMAGE_FILENAME_Click_(1)</t>
  </si>
  <si>
    <t>HandleLabelRightClick</t>
  </si>
  <si>
    <t>HandleLabelRightClick_(1)</t>
  </si>
  <si>
    <t>InitSysParm</t>
  </si>
  <si>
    <t>(oFormField As Variant, sAttribute As String, sSysparm As String)</t>
  </si>
  <si>
    <t>InitSysParm_(1)</t>
  </si>
  <si>
    <t>CB_EnablePythonButtons</t>
  </si>
  <si>
    <t>CB_EnablePythonButtons_(1)</t>
  </si>
  <si>
    <t>IsPathValid</t>
  </si>
  <si>
    <t>(oUserFormCaption As Object)</t>
  </si>
  <si>
    <t>IsPathValid_(1)</t>
  </si>
  <si>
    <t>(list As Variant, propName As String, Optional sDirection As Variant)</t>
  </si>
  <si>
    <t>IsOverrideSet_(1)
EpochTimeInSeconds_(1)
FindCellState_(1)
NeedNewStackEntry_(1)
ValidateDoUndo_(1)</t>
  </si>
  <si>
    <t xml:space="preserve"> change to import csv filename</t>
  </si>
  <si>
    <t>CB_LOG_(1)
GetUserFileEntryIntoLabel_(1)
IsPathValid_(1)
SetSysParmValue_(1)
CB_EnablePythonButtons_(1)</t>
  </si>
  <si>
    <t xml:space="preserve"> user asked to change the prepare image file name</t>
  </si>
  <si>
    <t>CB_LINK_FILE1_DblClick_(1)
CB_LINK_FILE2_Click_(1)
CBMF_IMPORT_CSV_FILENAME_Click_(1)
CBMF_PREPARE_IMAGE_FILENAME_Click_(1)</t>
  </si>
  <si>
    <t xml:space="preserve"> sets an attribute in a object (userform field) based on the value of a SYS_PARM</t>
  </si>
  <si>
    <t>CB_VALIDATE_HELPPATH_(1)
InitializeHelpPath_(1)
InitializeThreadPercentageWasteList_(1)
CB_InitializeGridSize_(1)
CB_UpdateGridSize_(1)
SetupConstants_(1)
CB_Initialize_Undo_(1)
SetSysParmValue_(1)
InitSysParm_(1)</t>
  </si>
  <si>
    <t>ColorBoxMainDriver_(1)
CBMF_IMPORT_CSV_FILENAME_Click_(1)
CBMF_PREPARE_IMAGE_FILENAME_Click_(1)
GetPythonPathFromUser_(1)</t>
  </si>
  <si>
    <t>GetFilePathFromUser_(1)
IsPathValid_(1)
SetSysParmValue_(1)
CB_EnablePythonButtons_(1)</t>
  </si>
  <si>
    <t>CBMF_IMPORT_CSV_FILENAME_Click_(1)
CBMF_PREPARE_IMAGE_FILENAME_Click_(1)
GetPythonPathFromUser_(1)
CB_EnablePythonButtons_(1)</t>
  </si>
  <si>
    <t xml:space="preserve"> returns true if the contents of the user form object's caption contains a file path and name that exists</t>
  </si>
  <si>
    <t>SetupConstants_(1)
SetupImageFilters_(1)
RebuildColorDictionary_(1)
SetRGBNameIndex_(1)
DeleteAndRecreateSheet_(1)
Prepare_ISD_FORM_(1)
ProvideSummaryColor_(1)
ColorValueForRGBName_(1)
UpdateUsedColors_(1)
ReduceNumberOfColors_(1)
AskQuestionForTrueFalse_(1)
ApplyColorLetters_(1)
UpdateCounts_(1)
ConfigureSheetForColorbox_(1)
CB_DoRepaint_(1)</t>
  </si>
  <si>
    <t xml:space="preserve"> list contains a variant containing the items in a dictionary
 prop name is the name of the classes attribute to be sorted on.
 sDirection is A (ascending) or D (descending)
Sort an array of objects using a given property 'propName'</t>
  </si>
  <si>
    <r>
      <t>1_6</t>
    </r>
    <r>
      <rPr>
        <sz val="10"/>
        <color rgb="FF000000"/>
        <rFont val="Calibri"/>
        <family val="2"/>
        <scheme val="minor"/>
      </rPr>
      <t xml:space="preserve">  1_5  1_4  1_3  1_2  1_1  1_0</t>
    </r>
  </si>
  <si>
    <r>
      <t>03/09/24</t>
    </r>
    <r>
      <rPr>
        <sz val="10"/>
        <color theme="1"/>
        <rFont val="Calibri"/>
        <family val="2"/>
        <scheme val="minor"/>
      </rPr>
      <t xml:space="preserve"> 03/07/24 02/26/24 02/25/24 02/23/24 02/21/24 2/20/2024</t>
    </r>
  </si>
  <si>
    <r>
      <t>3_6</t>
    </r>
    <r>
      <rPr>
        <sz val="10"/>
        <color rgb="FF000000"/>
        <rFont val="Calibri"/>
        <family val="2"/>
        <scheme val="minor"/>
      </rPr>
      <t xml:space="preserve">  3_5  3_4  3_3  3_2  3_1  3_0a  3_0  2_9  2_8  2_7  2_6  2_5</t>
    </r>
  </si>
  <si>
    <r>
      <t>03/07/24</t>
    </r>
    <r>
      <rPr>
        <sz val="10"/>
        <color theme="1"/>
        <rFont val="Calibri"/>
        <family val="2"/>
        <scheme val="minor"/>
      </rPr>
      <t xml:space="preserve"> 04/05/24 03/03/24 02/15/24 02/14/24 01/25/24 01/23/24 01/22/24 01/11/24 01/10/24 01/07/24 01/05/24 12/19/2023</t>
    </r>
  </si>
  <si>
    <r>
      <t>1_6</t>
    </r>
    <r>
      <rPr>
        <sz val="10"/>
        <color rgb="FF000000"/>
        <rFont val="Calibri"/>
        <family val="2"/>
        <scheme val="minor"/>
      </rPr>
      <t xml:space="preserve">  1_5  1_4a  1_3  1_2  1_1  1_0</t>
    </r>
  </si>
  <si>
    <r>
      <t>03/07/24</t>
    </r>
    <r>
      <rPr>
        <sz val="10"/>
        <color theme="1"/>
        <rFont val="Calibri"/>
        <family val="2"/>
        <scheme val="minor"/>
      </rPr>
      <t xml:space="preserve"> 01/12/24 01/09/24 01/05/25 01/03/24 12/30/23 12/29/2023</t>
    </r>
  </si>
  <si>
    <r>
      <t>2_3</t>
    </r>
    <r>
      <rPr>
        <sz val="10"/>
        <color rgb="FF000000"/>
        <rFont val="Calibri"/>
        <family val="2"/>
        <scheme val="minor"/>
      </rPr>
      <t xml:space="preserve">  2_2  2_1a  2_1  2_0  1_9  1_8  1_7  1_6  1_5  1_4B  1_4a  1_4  1_3b</t>
    </r>
  </si>
  <si>
    <r>
      <t>03/07/24</t>
    </r>
    <r>
      <rPr>
        <sz val="10"/>
        <color theme="1"/>
        <rFont val="Calibri"/>
        <family val="2"/>
        <scheme val="minor"/>
      </rPr>
      <t xml:space="preserve"> 01/23/24 01/19/24 01/01/24 12/18/23 12/16/23 12/12/23 12/11/23 12/10/23 12/09/23 12/06/23 11/13/23 11/01/23 10/16/2023</t>
    </r>
  </si>
  <si>
    <t xml:space="preserve"> handle mouse up event. coded to detect right mouse button clicks</t>
  </si>
  <si>
    <t xml:space="preserve"> handles right label click.
 if the label is an INVENTORY Label, the first letter of the label is transferred to the Change TO symbol field.</t>
  </si>
  <si>
    <t>1.5.1 03/09/2024</t>
  </si>
  <si>
    <t>C:\Users\jandy\Pictures\SnoopyTrimmed.csv</t>
  </si>
  <si>
    <t>Show letters changed</t>
  </si>
  <si>
    <t>SP_MAX_FLASH_COUNT</t>
  </si>
  <si>
    <t>CBMP_View_Controls Page Selected</t>
  </si>
  <si>
    <t>Handle option selection (button select) : option selected Option:1 A herBlack_x000D_
4112 new color A</t>
  </si>
  <si>
    <t>SP_SAVED_WINDOW_HEIGHT</t>
  </si>
  <si>
    <t>SP_SAVED_WINDOW_WIDTH</t>
  </si>
  <si>
    <t>SP_SAVED_WINDOW_ZOOM</t>
  </si>
  <si>
    <t>SP_SAVED_WINDOW_UPPER_LEFT_CELL</t>
  </si>
  <si>
    <t>SP_SAVED_WINDOW_TOP</t>
  </si>
  <si>
    <t>SP_SAVED_WINDOW_LEFT</t>
  </si>
  <si>
    <t>$BE$42</t>
  </si>
  <si>
    <t>COLORBOX_ZOOM_1_6.bas</t>
  </si>
  <si>
    <t>COLORBOX_FLASH_AREA_1_6.bas</t>
  </si>
  <si>
    <t>COLORBOX_4_3.bas</t>
  </si>
  <si>
    <t>4_3</t>
  </si>
  <si>
    <t>COLORBOX_CONSTANTS_4_0.bas</t>
  </si>
  <si>
    <t>4_0</t>
  </si>
  <si>
    <t>COLORBOX_SYS_PARMS_1_9.bas</t>
  </si>
  <si>
    <t>1_9</t>
  </si>
  <si>
    <t>COLORBOX_POPUP_1_3.bas</t>
  </si>
  <si>
    <t>SaveActiveWindowData</t>
  </si>
  <si>
    <t>SaveActiveWindowData_(1)</t>
  </si>
  <si>
    <t>OpenSavedWindow</t>
  </si>
  <si>
    <t>OpenSavedWindow_(1)</t>
  </si>
  <si>
    <t>ChangeMaxFlash</t>
  </si>
  <si>
    <t>(iInc As Integer)</t>
  </si>
  <si>
    <t>ChangeMaxFlash_(1)</t>
  </si>
  <si>
    <t>CB_CaptureWindowParms_Click</t>
  </si>
  <si>
    <t>CB_CaptureWindowParms_Click_(1)</t>
  </si>
  <si>
    <t>CB_MAX_FLASH_COUNT_SPINNER_SpinDown</t>
  </si>
  <si>
    <t>CB_MAX_FLASH_COUNT_SPINNER_SpinDown_(1)</t>
  </si>
  <si>
    <t>CB_MAX_FLASH_COUNT_SPINNER_SpinUp</t>
  </si>
  <si>
    <t>CB_MAX_FLASH_COUNT_SPINNER_SpinUp_(1)</t>
  </si>
  <si>
    <t>CB_OPEN_SAVED_WINDOW_Click</t>
  </si>
  <si>
    <t>CB_OPEN_SAVED_WINDOW_Click_(1)</t>
  </si>
  <si>
    <t xml:space="preserve"> reads the current zoom level,
 updates the displayed zoom level next to the list box,
 and selects an entry if it matches</t>
  </si>
  <si>
    <t xml:space="preserve"> saves the active window data in GUI and SYS_PARM for use in OpenSavedWindow</t>
  </si>
  <si>
    <t xml:space="preserve"> opens a new window using the saved window parameters</t>
  </si>
  <si>
    <t xml:space="preserve"> change the max flash value on the GUI, as a sys parm and the in memory value</t>
  </si>
  <si>
    <t>AssignRangeUnion_(1)
CB_HandleCellUpdate_(1)
CB_DoRepaint_(1)
CB_RepaintColor_(1)
CB_DoRepaintSelection_(1)
CB_RepaintDisplay_(1)
ResetFlashArea_(1)
ResetInvalidArea_(1)
CBLP_UnmarkSelection_(1)
CBLP_RemovePoint_(1)</t>
  </si>
  <si>
    <t>isColorboxSuspended_(1)
IsCellSelected_(1)
CB_LOG_(1)
Format_eMode_(1)
driver_(1)
CBLP_AddPointToListEnd_(1)
ClearLog_(1)
SetupPublicWbkWs_(1)
ForceClearOverride_(1)
ForceResetAllOverrides_(1)
SetOverride_(1)
AddColorBoxToCellMenu_(1)
SetupConstants_(1)
ReadSysParms_(1)
SetUpRandomPanel_(1)
InitializeHelpPath_(1)
CB_VALIDATE_HELPPATH_(1)
CB_InitializeFaderLevel_(1)
InitializeAlternateColorDistance_(1)
CB_InitializeGridSize_(1)
CB_ReportCellSize_(1)
PopulateZoomLevels_(1)
InitializeThreadPercentageWasteList_(1)
SETUP_SCROLL_BUTTONS_(1)
CBLP_InitializeShapeMode_(1)
SetupMixerArray_(1)
SetupSwatches_(1)
SetUpClosestColorArrays_(1)
SetupInventoryArray_(1)
CB_Initialize_Undo_(1)
ProcessMultiPageSelection_(1)
Set_EMENU_MODE_NORMAL_(1)
SetupColorboxHistory_(1)
LoadBoundaryListBox_(1)
ClearArrows_(1)
UpdateCounts_(1)
FirstUsedLetter_(1)
ToFromEnableButtons_(1)
CB_FIND_EnableButtons_(1)
UpdateDisplayedZoom_(1)
PopulateSwatches_(1)
CB_ValidatePrefix_(1)
InititalizeSwatchAndChar_(1)
PopulateColorList_(1)
CB_MIXER_CHANGE_COLOR_(1)
HandleColorListSelection_(1)
HandleCellSelection_(1)
UpdateSelectedColorOption_(1)
MoveSwatchEnable_(1)
DumpOverrideStates_(1)
CBSC_EnableButtons_(1)
CB_EnablePythonButtons_(1)
RecordRangeState_(1)</t>
  </si>
  <si>
    <t xml:space="preserve"> user wants to decrease the max flash value</t>
  </si>
  <si>
    <t>CB_LOG_(1)
ChangeMaxFlash_(1)</t>
  </si>
  <si>
    <t xml:space="preserve"> user wants to increase the max flash value</t>
  </si>
  <si>
    <t>CB_MAX_FLASH_COUNT_SPINNER_SpinDown_(1)
CB_MAX_FLASH_COUNT_SPINNER_SpinUp_(1)</t>
  </si>
  <si>
    <t xml:space="preserve"> user asked to open window in saved capture state</t>
  </si>
  <si>
    <t>CB_LOG_(1)
OpenSavedWindow_(1)</t>
  </si>
  <si>
    <t xml:space="preserve"> user pressed the flash all button</t>
  </si>
  <si>
    <t>RestoreFromFile_(1)
ReportAlphaBetUsage_(1)
AssignRangeUnion_(1)
FlipIt_(1)
MirrorSelectionRight_(1)
MirrorSelectionDown_(1)
CB_ColorCell_(1)
ChangeSelectedLetter_(1)
CB_RepaintColor_(1)
CB_SwapLetters_(1)
CB_ColorSelectedArea_(1)
ReassignArea_(1)
CBLP_ExecuteCutPaste_(1)
ResetFlashArea_(1)
FlashInvalidArea_(1)
DrawPolygonOutline_(1)
ClearArrows_(1)
ClearPolygonCorners_(1)
ColorBoxMainDriver_(1)
CB_UNDOIT_(1)
HandleColorLabelSelection_(1)
HandleLabelDblClick_(1)</t>
  </si>
  <si>
    <t xml:space="preserve"> called with a system parameter name that shouild exist in the SYS_PARM tab.
 returns with the range (cell address) of the parameter value
 if the sys parm is not found in the table, an entry is created for it from the CONSTANT file defined initial value
 all SYS_PARMS are defined in the COLORBOX_CONSTANTS VBA File.</t>
  </si>
  <si>
    <t>ReportAlphaBetUsage_(1)
AssignRangeUnion_(1)
MirrorSelectionRight_(1)
MirrorSelectionDown_(1)
CB_ColorCell_(1)
ChangeSelectedLetter_(1)
CB_RepaintColor_(1)
ForceClearOverride_(1)
CB_SwapLetters_(1)
CB_ColorSelectedArea_(1)
ReassignArea_(1)
CBLP_ExecuteCutPaste_(1)
ResetFlashArea_(1)
FlashInvalidArea_(1)
DrawPolygonOutline_(1)
ClearArrows_(1)
ClearPolygonCorners_(1)
CB_UNDOIT_(1)
HandleColorLabelSelection_(1)
HandleLabelDblClick_(1)
ReadPythonCSV_(1)</t>
  </si>
  <si>
    <t>CB_VALIDATE_HELPPATH_(1)
CB_CELL_SIZE_EnableButtons_(1)
SaveActiveWindowData_(1)
ChangeMaxFlash_(1)
CB_Update_Undo_Depth_(1)
CB_AUTO_SELECT_Change_(1)
CB_DISABLE_CONFIRM_Click_(1)
CB_LINK_FILE1_DblClick_(1)
CB_LINK_FILE2_Click_(1)
CB_HIDE_UNUSED_SWATCHES_Click_(1)
CB_LIMIT_NAMES_Click_(1)
CB_SHOW_10x10_change_(1)
CB_SHOW_BORDERS_Change_(1)
CB_SHOW_COLORS_Change_(1)
CB_SHOW_NAMES_IN_SWATCH_Click_(1)
CB_ShowLetters_Change_(1)
CBMF_IMPORT_CSV_FILENAME_Click_(1)
CBMF_PREPARE_IMAGE_FILENAME_Click_(1)
CBP_MIN_LEFTOVER_Change_(1)
CBP_THREAD_WASTE_PERCENTAGE_Click_(1)
CBP_THREADS_PER_BAG_Change_(1)
CB_ValidatePrefix_(1)
CB_AssignLightContrastingTextColor_(1)
CB_AssignDarkContrastingTextColor_(1)
GetPythonPathFromUser_(1)
RunPythonPreprocessor_(1)
FlipShowLetters_(1)</t>
  </si>
  <si>
    <r>
      <t>4_3</t>
    </r>
    <r>
      <rPr>
        <sz val="10"/>
        <color rgb="FF000000"/>
        <rFont val="Calibri"/>
        <family val="2"/>
        <scheme val="minor"/>
      </rPr>
      <t xml:space="preserve">  4_2  4_1  4_0  3_9  3_8  3_7  3_6  3_5  3_4  3_3  3_2  3_1</t>
    </r>
  </si>
  <si>
    <r>
      <t>4_0</t>
    </r>
    <r>
      <rPr>
        <sz val="10"/>
        <color rgb="FF000000"/>
        <rFont val="Calibri"/>
        <family val="2"/>
        <scheme val="minor"/>
      </rPr>
      <t xml:space="preserve">  3_9  3_8  3_7  3_6  3_5  3_4  3_3  3_2  3_1  3_0  2_9  2_8  2_7  2_6  2_5</t>
    </r>
  </si>
  <si>
    <r>
      <t>03/10/24</t>
    </r>
    <r>
      <rPr>
        <sz val="10"/>
        <color theme="1"/>
        <rFont val="Calibri"/>
        <family val="2"/>
        <scheme val="minor"/>
      </rPr>
      <t xml:space="preserve"> 03/09/24 03/07/24 03/06/24 03/05/24 02/20/24 02/15/24 02/14/24 01/25/24 01/22/24 01/09/24 01/07/24 01/05/24 12/30/23 12/24/23 12/20/2023</t>
    </r>
  </si>
  <si>
    <r>
      <t>1_6</t>
    </r>
    <r>
      <rPr>
        <sz val="10"/>
        <color rgb="FF000000"/>
        <rFont val="Calibri"/>
        <family val="2"/>
        <scheme val="minor"/>
      </rPr>
      <t xml:space="preserve">  1_4  1_3  1_2  1_1  1_0</t>
    </r>
  </si>
  <si>
    <r>
      <t>03/10/24</t>
    </r>
    <r>
      <rPr>
        <sz val="10"/>
        <color theme="1"/>
        <rFont val="Calibri"/>
        <family val="2"/>
        <scheme val="minor"/>
      </rPr>
      <t xml:space="preserve"> 03/05/24 01/09/24 01/01/24 12/24/23 12/22/2023</t>
    </r>
  </si>
  <si>
    <r>
      <t>1_3</t>
    </r>
    <r>
      <rPr>
        <sz val="10"/>
        <color rgb="FF000000"/>
        <rFont val="Calibri"/>
        <family val="2"/>
        <scheme val="minor"/>
      </rPr>
      <t xml:space="preserve">  1_2  1_1  1_0  0_1  0_0</t>
    </r>
  </si>
  <si>
    <r>
      <t>03/10/24</t>
    </r>
    <r>
      <rPr>
        <sz val="10"/>
        <color theme="1"/>
        <rFont val="Calibri"/>
        <family val="2"/>
        <scheme val="minor"/>
      </rPr>
      <t xml:space="preserve"> 03/06/24 03/05/24 03/04/24 NO_DATE</t>
    </r>
  </si>
  <si>
    <r>
      <t>1_9</t>
    </r>
    <r>
      <rPr>
        <sz val="10"/>
        <color rgb="FF000000"/>
        <rFont val="Calibri"/>
        <family val="2"/>
        <scheme val="minor"/>
      </rPr>
      <t xml:space="preserve">  1_8  1_7  1_6  1_5  1_4  1_3  1_2  1_1  1_0</t>
    </r>
  </si>
  <si>
    <r>
      <t>03/10/24</t>
    </r>
    <r>
      <rPr>
        <sz val="10"/>
        <color theme="1"/>
        <rFont val="Calibri"/>
        <family val="2"/>
        <scheme val="minor"/>
      </rPr>
      <t xml:space="preserve"> 03/09/24 02/26/24 02/14/24 02/13/24 01/09/24 12/19/23 12/18/23 11/29/23 11/1/2023</t>
    </r>
  </si>
  <si>
    <r>
      <t>1_6</t>
    </r>
    <r>
      <rPr>
        <sz val="10"/>
        <color rgb="FF000000"/>
        <rFont val="Calibri"/>
        <family val="2"/>
        <scheme val="minor"/>
      </rPr>
      <t xml:space="preserve">  1_5b  1_5a  1_5  1_4a  1_4  1_3a  1_3  1_2  1_1A  1_1  1_0</t>
    </r>
  </si>
  <si>
    <r>
      <t>03/10/24</t>
    </r>
    <r>
      <rPr>
        <sz val="10"/>
        <color theme="1"/>
        <rFont val="Calibri"/>
        <family val="2"/>
        <scheme val="minor"/>
      </rPr>
      <t xml:space="preserve"> 02/14/24 01/28/24 01/25/24 01/23/24 01/21/24 01/10/24 01/05/24 01/01/24 12/06/23 10/25/23 NO_DATE</t>
    </r>
  </si>
  <si>
    <t>exit color box</t>
  </si>
  <si>
    <t>recording single range state $AE$75</t>
  </si>
  <si>
    <t>Cell Selection $AE$75</t>
  </si>
  <si>
    <t>show narrow GUI - just colors</t>
  </si>
  <si>
    <t>CBMP_SETTINGS Page Selected</t>
  </si>
  <si>
    <t>recording single range state $N$64</t>
  </si>
  <si>
    <t>Cell Selection $N$64</t>
  </si>
  <si>
    <t>isColorboxSuspended_(1)
CB_LOG_(1)
IsOverrideSet_(1)
HasCOLORBOXLoaded_(1)
ForceClearOverride_(1)
SetupConstants_(1)
CB_Initialize_Undo_(1)
LogChange_(1)
IsValidSymbol_(1)
CB_ColorCell_(1)
UpdateLetterHistory_(1)</t>
  </si>
  <si>
    <t xml:space="preserve"> user asker to capture the current window date</t>
  </si>
  <si>
    <t>CB_LOG_(1)
SaveActiveWindowData_(1)</t>
  </si>
  <si>
    <t>CB_AutoSelect_(1)
CB_HandleCellUpdate_(1)
CB_ReportInvalidCells_(1)
FindNextError_(1)
BuildFindFlashArea_(1)
CBLP_FlashShape_(1)
CreateShortcut_(1)</t>
  </si>
  <si>
    <t>CBS_CLOSE_Click_(1)
CBS_RED_SPINNER_SpinDown_(1)
CBS_RED_SPINNER_SpinUp_(1)
CBS_GREEN_SPINNER_SpinDown_(1)
CBS_GREEN_SPINNER_SpinUp_(1)
CBS_BLUE_SPINNER_SpinDown_(1)
CBS_BLUE_SPINNER_SpinUp_(1)
CBS_DARK_SPINNER_SpinDown_(1)
CBS_DARK_SPINNER_SpinUp_(1)
CBS_STEP_SPINNER_SpinUp_(1)
CBS_STEP_SPINNER_SpinDown_(1)
CBS_UPDATE_MIXER_Click_(1)
PopupSample_(1)
CNC_Cancel_Click_(1)
CNC_CLASS_LIST_Change_(1)
CNC_CREATE_NEW_NAME_Click_(1)
CNC_DELETE_EXISTING_Click_(1)
CNC_RENAME_OLDNAME_Click_(1)
CNC_UPDATE_EXISTING_Click_(1)
CNC_NEWNAME_Change_(1)
CNC_OpenNewColorForm_(1)
CBH_CLOSE_Click_(1)
PopulateColorboxHistory_(1)
GetRestoreFilename_(1)
DoBackup_(1)
ProcessMultiPageSelection_(1)
AssignRangeUnion_(1)
SetCenterPointToSelectedCell_(1)
CB_HandleCellUpdate_(1)
CB_ColorCell_(1)
HandleCellSelection_(1)
UpdateCurrentLetter_(1)
HandleOptionSelection_(1)
HandleOptionDblClick_(1)
CB_MakeColorAssignment_(1)
CB_ClearSelection_(1)
CB_ToggleSuspendColorbox_(1)
DumpOverrideStates_(1)
ToFromEnableButtons_(1)
CB_SwapLetters_(1)
CB_ColorSelectedArea_(1)
ReassignArea_(1)
CB_ZOOM_ON_SELECTED_(1)
BuildFindFlashArea_(1)
StartButtonTimer_(1)
ClearButtonTimer_(1)
ColorBoxMainDriver_(1)
CB_Update_Undo_Depth_(1)
CB_ALL_REASSIGN_Click_(1)
CB_ALPHABET_USAGE_AREA_Click_(1)
CB_ALPHABET_USAGE_COMMAND_Click_(1)
CB_ALTERNATE_DISTANCE_LIST_change_(1)
CB_APPLY_CELL_SIZE_Click_(1)
CB_AREA_REASSIGN_Click_(1)
CB_ASSIGN_DARK_Click_(1)
CB_ASSIGN_LIGHT_Click_(1)
CB_AUTO_SELECT_Change_(1)
CB_CaptureWindowParms_Click_(1)
CB_CLEAN_PATTERNS_Click_(1)
CB_CLEAR_AREA_Click_(1)
CB_CLEAR_HISTORY_Click_(1)
CB_COLOR_DISTANCE_SPINNER1_SpinDown_(1)
CB_COLOR_DISTANCE_SPINNER1_SpinUp_(1)
CB_COLOR_DISTANCE_SPINNER2_SpinDown_(1)
CB_COLOR_DISTANCE_SPINNER2_SpinUp_(1)
CB_COLOR_DISTANCE_SPINNER3_SpinDown_(1)
CB_COLOR_DISTANCE_SPINNER3_SpinUp_(1)
CB_COLOR_SELECTION_Click_(1)
CB_CONFIGURE_SHEET_Click_(1)
CB_DISABLE_Click_(1)
CB_DISABLE_CONFIRM_Click_(1)
CB_FADE_ALL_Click_(1)
CB_FADE_SELECTION_Click_(1)
CB_FIND_FLASH_AREA_MouseDown_(1)
CB_FIND_FLASH_AREA_MouseUp_(1)
CB_FLASH_CHANGE_MouseDown_(1)
CB_FLASH_CHANGE_MouseUp_(1)
CB_FLASH_INVALID_MouseDown_(1)
CB_FLASH_INVALID_MouseUp_(1)
CB_FLIP_90_LEFT_Click_(1)
CB_FLIP_90_RIGHT_Click_(1)
CB_HIDE_AREA_LETTERS_Click_(1)
CB_LINK_FILE1_DblClick_(1)
CB_LINK_FILE2_Click_(1)
CB_LINK_OPEN1_Click_(1)
CB_LINK_OPEN2_Click_(1)
CB_MAX_FLASH_COUNT_SPINNER_SpinDown_(1)
CB_MAX_FLASH_COUNT_SPINNER_SpinUp_(1)
CB_OPEN_SAVED_WINDOW_Click_(1)
CB_PIVOT_DOWN_Click_(1)
CB_PRINT_LEGEND_Click_(1)
CB_REMOVE_INVALID_MARKING_Click_(1)
CB_FIND_FLASH_MouseDown_(1)
CB_FIND_FLASH_MouseUp_(1)
CB_FIND_FLASH_OTHERS_MouseDown_(1)
CB_FIND_FLASH_OTHERS_MouseUp_(1)
CB_FIND_LOAD_Click_(1)
CB_FIND_REPAINT_Click_(1)
CB_FIND_ZOOM_MINUS_Click_(1)
CB_FIND_ZOOM_PLUS_Click_(1)
CB_FIND_ZOOM_SELECTION_Click_(1)
CB_HELPPATH_DblClick_(1)
CB_HIDE_UNUSED_SWATCHES_Click_(1)
CB_LEFTSOURCE_YARN_Click_(1)
CB_LIMIT_NAMES_Click_(1)
CB_NEXT_INVALID_Click_(1)
CB_PREFIX_Change_(1)
CB_PRINT_Click_(1)
CB_QZ_25_Click_(1)
CB_REPAINT_CHAR_Click_(1)
CB_REPAINT_DISPLAY_Click_(1)
CB_REPORT_INVALID_Click_(1)
CB_REPORT_PRINT_Click_(1)
CB_REPORTS_UNIQUE_ITEMS_Click_(1)
CB_RESELECT_AREA_Click_(1)
CB_RESELECT_AREA2_Click_(1)
CB_RESELECT_AREA3_Click_(1)
CB_RESTORE_FROM_BACKUP_Click_(1)
CB_SCROLL_DOWN_LEFT_Click_(1)
CB_SCROLL_DOWN_RIGHT_Click_(1)
CB_SCROLL_UP_LEFT_Click_(1)
CB_SCROLL_UP_RIGHT_Click_(1)
CB_SHOW_10x10_change_(1)
CB_SHOW_AREA_LETTERS_Click_(1)
CB_SHOW_BORDERS_Change_(1)
CB_SHOW_COLORS_Change_(1)
CB_SHOW_NAMES_IN_SWATCH_Click_(1)
CB_ShowLetters_Change_(1)
CB_SWAP_Click_(1)
CB_UNDO_Click_(1)
CB_UNDO_DEPTH_AfterUpdate_(1)
CB_ZOOM_SELECTION_Click_(1)
CBLP_ADD_POINT_Click_(1)
CBLP_COPY_Click_(1)
CBLP_CUT_Click_(1)
CBLP_DOWN_RIGHT_Click_(1)
CBLP_ENABLE_PT_SELECTION_Click_(1)
CBLP_PASTE_CMD_Click_(1)
CBLP_REDRAW_Click_(1)
CBLP_SET_PASTE_POINT_Click_(1)
CBLP_UP_RIGHT_Click_(1)
CBMF_COLORBOX_PATH_Click_(1)
CBMF_IMPORT_CSV_FILENAME_Click_(1)
CBMF_IMPORT_PYTHON_Click_(1)
CBMF_PREPARE_IMAGE_FILENAME_Click_(1)
CBMF_PYTHON_LIMIT_COLORS_Click_(1)
CBMF_PYTHON_PATH_DblClick_(1)
CBMF_PYTHON_PROCESS_Click_(1)
CBP_MIN_LEFTOVER_Change_(1)
CBP_THREAD_WASTE_PERCENTAGE_Click_(1)
CBSC_ASSIGN_COLOR_Click_(1)
CB_BACKUP_NOW_Click_(1)
CB_CELL_SIZE_Change_(1)
CBSC_COLOR_FILTER_Change_(1)
CB_COLOR_MIXER_DblClick_(1)
CB_CURRENT_ZOOM_DblClick_(1)
CB_DEPTH_Change_(1)
CB_DRAW10BY10_Click_(1)
CB_EXIT_Click_(1)
CBSC_FAMILY_FILTER_Change_(1)
CB_FIND_NEXT_Click_(1)
CB_FIND_TARGET_Change_(1)
CB_FLIP_IT_Click_(1)
CB_FROM_SYMBOL_Change_(1)
CB_JUST_COLORS_Click_(1)
CB_MATRIX_SPINNER_SpinUp_(1)
CB_MATRIX_SPINNER_SpinDown_(1)
CB_MIRROR_DOWN_Click_(1)
CB_MIRROR_RIGHT_Click_(1)
CB_PIVOT_RIGHT_Click_(1)
CB_MIXER_LT_SPINNER_SpinUp_(1)
CB_MIXER_LT_SPINNER_SpinDown_(1)
CB_MIXER_RED_SPIN_SpinUp_(1)
CB_MIXER_RED_SPIN_SpinDown_(1)
CB_MIXER_GREEN_SPIN_SpinUp_(1)
CB_MIXER_GREEN_SPIN_SpinDown_(1)
CB_MIXER_BLUE_SPIN_SpinUp_(1)
CB_MIXER_BLUE_SPIN_SpinDown_(1)
CB_MIXER_SAVE_NEW_Click_(1)
CB_MIXER_STEP_SPINNER_SpinDown_(1)
CB_MIXER_STEP_SPINNER_SpinUp_(1)
CB_MOVESWATCH_SP_SpinDown_(1)
CB_MOVESWATCH_SP_SpinUp_(1)
CB_NEW_WORK_SHEET_Click_(1)
CB_OPEN_HELP_Click_(1)
CB_Open_New_Window_Click_(1)
CB_OPEN_NEXT_WINDOW_Click_(1)
CB_RefreshCount_Click_(1)
CB_REPAINT_Click_(1)
CB_REPAINT_SELECTION_Click_(1)
CB_RESET_Click_(1)
CB_RGB_CALCULATED_Click_(1)
CB_SAVE_Click_(1)
CB_SCROLL_UP_Click_(1)
CB_SCROLL_DOWN_Click_(1)
CB_SCROLL_LEFT_Click_(1)
CB_SCROLL_RIGHT_Click_(1)
CB_SHOW_HISTORY_Click_(1)
CBSC_FLASH_COLOR_MouseDown_(1)
CBSC_TEST_COLOR_MouseDown_(1)
CBSC_TEST_COLOR_MouseUp_(1)
CB_TO_SYMBOL_Change_(1)
CB_ToolBox_Click_(1)
CB_WIDTH_Change_(1)
CB_ZOOM_BOX_DblClick_(1)
CBLP_ASSIGN_Click_(1)
CBLP_FLASH_AREA_MouseDown_(1)
CBLP_FLASH_AREA_MouseUp_(1)
CBLP_LINE_OPTION_Click_(1)
CBLP_POLYGON_OPTION_Click_(1)
CBLP_SELECTED_AREA_Click_(1)
CBLP_REMOVE_MARKERS_Click_(1)
CBLP_SYMBOL_Change_(1)
CBDC_ASSIGN_CIRCLE_Click_(1)
CBDC_CIRCLE_SYMBOL_Change_(1)
CBDC_COL_INTEGER_AfterUpdate_(1)
CBDC_FLASH_CENTER_MouseDown_(1)
CBDC_FLASH_CENTER_MouseUp_(1)
CBDC_FLASH_CIRCLE_MouseDown_(1)
CBDC_FLASH_CIRCLE_Mouseup_(1)
CBDC_INITIALIZE_CENTER_POINT_Click_(1)
CBDC_RADIUS_Change_(1)
CBDC_ROW_Change_(1)
CBSC_CLEAR_FILTERS_Click_(1)
CNC_DOUBLE_CLICK_PROMPT_Click_(1)
COLORLIST_Click_(1)
CB_MOVESWATCH2_SP_SpinDown_(1)
CB_MOVESWATCH2_SP_SpinUp_(1)
CBDA_SHOW_BOUNDARY_Click_(1)
CBLP_ADD_POINT_AFTER_Click_(1)
CBLP_DELETE_POINT_Click_(1)
CBLP_POINT_LIST_Click_(1)
CBLP_RESTART_Click_(1)
CBLP_LEFT_Click_(1)
CBLP_RIGHT_Click_(1)
CBLP_UP_Click_(1)
CBLP_DOWN_Click_(1)
CPDA_SHOW_BOUNDARY_Click_(1)
ChangeColorDistanceMethod_(1)
CB_MIXER_CHANGE_COLOR_(1)
HandleColorLabelSelection_(1)
HandleLabelRightClick_(1)
HandleLabelDblClick_(1)
GetSysParmIndex_(1)
FlipShowLetters_(1)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</si>
</sst>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ss.000\ AM/PM"/>
    <numFmt numFmtId="165" formatCode="#.00"/>
    <numFmt numFmtId="166" formatCode="mm/dd/yy;@"/>
    <numFmt numFmtId="167" formatCode="mm/dd/yy"/>
  </numFmts>
  <fonts count="50" x14ac:knownFonts="1">
    <font>
      <sz val="10"/>
      <color theme="1"/>
      <name val="Calibri"/>
      <family val="2"/>
      <scheme val="minor"/>
    </font>
    <font>
      <sz val="10"/>
      <color rgb="FFFFFFFF"/>
      <name val="Calibri"/>
      <family val="2"/>
      <scheme val="minor"/>
    </font>
    <font>
      <sz val="10"/>
      <color rgb="FF000000"/>
      <name val="Calibri"/>
      <family val="2"/>
      <scheme val="minor"/>
    </font>
    <font>
      <b/>
      <sz val="10"/>
      <color theme="1"/>
      <name val="Calibri"/>
      <family val="2"/>
      <scheme val="minor"/>
    </font>
    <font>
      <b/>
      <sz val="10"/>
      <color rgb="FF8B0000"/>
      <name val="Calibri"/>
      <family val="2"/>
      <scheme val="minor"/>
    </font>
    <font>
      <sz val="10"/>
      <name val="Arial"/>
      <family val="2"/>
      <charset val="1"/>
    </font>
    <font>
      <b/>
      <sz val="10"/>
      <color rgb="FF000000"/>
      <name val="Calibri"/>
      <family val="2"/>
      <scheme val="minor"/>
    </font>
    <font>
      <sz val="10"/>
      <color rgb="FFD2D6DF"/>
      <name val="Calibri"/>
      <family val="2"/>
      <scheme val="minor"/>
    </font>
    <font>
      <b/>
      <sz val="10"/>
      <color rgb="FF008000"/>
      <name val="Calibri"/>
      <family val="2"/>
      <scheme val="minor"/>
    </font>
    <font>
      <u/>
      <sz val="10"/>
      <color theme="10"/>
      <name val="Calibri"/>
      <family val="2"/>
      <scheme val="minor"/>
    </font>
    <font>
      <sz val="10"/>
      <color rgb="FF949494"/>
      <name val="Calibri"/>
      <family val="2"/>
      <scheme val="minor"/>
    </font>
    <font>
      <sz val="10"/>
      <color rgb="FFB3DCFC"/>
      <name val="Calibri"/>
      <family val="2"/>
      <scheme val="minor"/>
    </font>
    <font>
      <sz val="10"/>
      <color rgb="FF404045"/>
      <name val="Calibri"/>
      <family val="2"/>
      <scheme val="minor"/>
    </font>
    <font>
      <sz val="10"/>
      <color rgb="FF5C5543"/>
      <name val="Calibri"/>
      <family val="2"/>
      <scheme val="minor"/>
    </font>
    <font>
      <sz val="10"/>
      <color rgb="FFFBE7AB"/>
      <name val="Calibri"/>
      <family val="2"/>
      <scheme val="minor"/>
    </font>
    <font>
      <sz val="10"/>
      <color rgb="FFFFE69C"/>
      <name val="Calibri"/>
      <family val="2"/>
      <scheme val="minor"/>
    </font>
    <font>
      <sz val="10"/>
      <color rgb="FF1F294C"/>
      <name val="Calibri"/>
      <family val="2"/>
      <scheme val="minor"/>
    </font>
    <font>
      <sz val="10"/>
      <color rgb="FF16353A"/>
      <name val="Calibri"/>
      <family val="2"/>
      <scheme val="minor"/>
    </font>
    <font>
      <sz val="10"/>
      <color rgb="FFF0FAFC"/>
      <name val="Calibri"/>
      <family val="2"/>
      <scheme val="minor"/>
    </font>
    <font>
      <sz val="10"/>
      <color rgb="FF696D7A"/>
      <name val="Calibri"/>
      <family val="2"/>
      <scheme val="minor"/>
    </font>
    <font>
      <sz val="10"/>
      <color rgb="FF3E3A76"/>
      <name val="Calibri"/>
      <family val="2"/>
      <scheme val="minor"/>
    </font>
    <font>
      <sz val="10"/>
      <color rgb="FF8BD6CA"/>
      <name val="Calibri"/>
      <family val="2"/>
      <scheme val="minor"/>
    </font>
    <font>
      <sz val="10"/>
      <color rgb="FF6A8BBE"/>
      <name val="Calibri"/>
      <family val="2"/>
      <scheme val="minor"/>
    </font>
    <font>
      <sz val="10"/>
      <color rgb="FF2A558A"/>
      <name val="Calibri"/>
      <family val="2"/>
      <scheme val="minor"/>
    </font>
    <font>
      <sz val="10"/>
      <color rgb="FF4D6E4D"/>
      <name val="Calibri"/>
      <family val="2"/>
      <scheme val="minor"/>
    </font>
    <font>
      <sz val="10"/>
      <color rgb="FFFFFB2B"/>
      <name val="Calibri"/>
      <family val="2"/>
      <scheme val="minor"/>
    </font>
    <font>
      <sz val="10"/>
      <color rgb="FFEEF5C2"/>
      <name val="Calibri"/>
      <family val="2"/>
      <scheme val="minor"/>
    </font>
    <font>
      <sz val="10"/>
      <color rgb="FF337060"/>
      <name val="Calibri"/>
      <family val="2"/>
      <scheme val="minor"/>
    </font>
    <font>
      <sz val="10"/>
      <color rgb="FFD92730"/>
      <name val="Calibri"/>
      <family val="2"/>
      <scheme val="minor"/>
    </font>
    <font>
      <b/>
      <sz val="10"/>
      <color rgb="FF949494"/>
      <name val="Calibri"/>
      <family val="2"/>
      <scheme val="minor"/>
    </font>
    <font>
      <b/>
      <sz val="10"/>
      <color rgb="FFBCB976"/>
      <name val="Calibri"/>
      <family val="2"/>
      <scheme val="minor"/>
    </font>
    <font>
      <b/>
      <sz val="10"/>
      <color rgb="FF5C5543"/>
      <name val="Calibri"/>
      <family val="2"/>
      <scheme val="minor"/>
    </font>
    <font>
      <b/>
      <sz val="10"/>
      <color rgb="FF337060"/>
      <name val="Calibri"/>
      <family val="2"/>
      <scheme val="minor"/>
    </font>
    <font>
      <b/>
      <sz val="10"/>
      <color rgb="FFB3DCFC"/>
      <name val="Calibri"/>
      <family val="2"/>
      <scheme val="minor"/>
    </font>
    <font>
      <b/>
      <sz val="10"/>
      <color rgb="FF8BD6CA"/>
      <name val="Calibri"/>
      <family val="2"/>
      <scheme val="minor"/>
    </font>
    <font>
      <b/>
      <sz val="10"/>
      <color rgb="FFEEF5C2"/>
      <name val="Calibri"/>
      <family val="2"/>
      <scheme val="minor"/>
    </font>
    <font>
      <b/>
      <sz val="10"/>
      <color rgb="FFF9CA49"/>
      <name val="Calibri"/>
      <family val="2"/>
      <scheme val="minor"/>
    </font>
    <font>
      <sz val="10"/>
      <color rgb="FFFFFFC2"/>
      <name val="Calibri"/>
      <family val="2"/>
      <scheme val="minor"/>
    </font>
    <font>
      <b/>
      <sz val="10"/>
      <color rgb="FFFFFB2B"/>
      <name val="Calibri"/>
      <family val="2"/>
      <scheme val="minor"/>
    </font>
    <font>
      <b/>
      <sz val="10"/>
      <color rgb="FFFFFFC2"/>
      <name val="Calibri"/>
      <family val="2"/>
      <scheme val="minor"/>
    </font>
    <font>
      <b/>
      <sz val="10"/>
      <color rgb="FFF0FAFC"/>
      <name val="Calibri"/>
      <family val="2"/>
      <scheme val="minor"/>
    </font>
    <font>
      <b/>
      <sz val="10"/>
      <color rgb="FFFFFFFF"/>
      <name val="Calibri"/>
      <family val="2"/>
      <scheme val="minor"/>
    </font>
    <font>
      <b/>
      <sz val="10"/>
      <color rgb="FFD92730"/>
      <name val="Calibri"/>
      <family val="2"/>
      <scheme val="minor"/>
    </font>
    <font>
      <b/>
      <sz val="10"/>
      <color rgb="FF932434"/>
      <name val="Calibri"/>
      <family val="2"/>
      <scheme val="minor"/>
    </font>
    <font>
      <sz val="10"/>
      <color rgb="FFF9CA49"/>
      <name val="Calibri"/>
      <family val="2"/>
      <scheme val="minor"/>
    </font>
    <font>
      <b/>
      <sz val="10"/>
      <color rgb="FF404045"/>
      <name val="Calibri"/>
      <family val="2"/>
      <scheme val="minor"/>
    </font>
    <font>
      <b/>
      <sz val="10"/>
      <color rgb="FF4A241B"/>
      <name val="Calibri"/>
      <family val="2"/>
      <scheme val="minor"/>
    </font>
    <font>
      <b/>
      <sz val="10"/>
      <color rgb="FF374129"/>
      <name val="Calibri"/>
      <family val="2"/>
      <scheme val="minor"/>
    </font>
    <font>
      <b/>
      <sz val="10"/>
      <color rgb="FFFFE69C"/>
      <name val="Calibri"/>
      <family val="2"/>
      <scheme val="minor"/>
    </font>
    <font>
      <b/>
      <sz val="10"/>
      <color rgb="FF2A558A"/>
      <name val="Calibri"/>
      <family val="2"/>
      <scheme val="minor"/>
    </font>
  </fonts>
  <fills count="216">
    <fill>
      <patternFill patternType="none"/>
    </fill>
    <fill>
      <patternFill patternType="gray125"/>
    </fill>
    <fill>
      <patternFill patternType="solid">
        <fgColor rgb="FF000000"/>
        <bgColor indexed="64"/>
      </patternFill>
    </fill>
    <fill>
      <patternFill patternType="solid">
        <fgColor rgb="FF000080"/>
        <bgColor indexed="64"/>
      </patternFill>
    </fill>
    <fill>
      <patternFill patternType="solid">
        <fgColor rgb="FF0000FF"/>
        <bgColor indexed="64"/>
      </patternFill>
    </fill>
    <fill>
      <patternFill patternType="solid">
        <fgColor rgb="FF008000"/>
        <bgColor indexed="64"/>
      </patternFill>
    </fill>
    <fill>
      <patternFill patternType="solid">
        <fgColor rgb="FF008080"/>
        <bgColor indexed="64"/>
      </patternFill>
    </fill>
    <fill>
      <patternFill patternType="solid">
        <fgColor rgb="FF00FF00"/>
        <bgColor indexed="64"/>
      </patternFill>
    </fill>
    <fill>
      <patternFill patternType="solid">
        <fgColor rgb="FF00FFFF"/>
        <bgColor indexed="64"/>
      </patternFill>
    </fill>
    <fill>
      <patternFill patternType="solid">
        <fgColor rgb="FF800000"/>
        <bgColor indexed="64"/>
      </patternFill>
    </fill>
    <fill>
      <patternFill patternType="solid">
        <fgColor rgb="FF800080"/>
        <bgColor indexed="64"/>
      </patternFill>
    </fill>
    <fill>
      <patternFill patternType="solid">
        <fgColor rgb="FF808000"/>
        <bgColor indexed="64"/>
      </patternFill>
    </fill>
    <fill>
      <patternFill patternType="solid">
        <fgColor rgb="FF808080"/>
        <bgColor indexed="64"/>
      </patternFill>
    </fill>
    <fill>
      <patternFill patternType="solid">
        <fgColor rgb="FFC0C0C0"/>
        <bgColor indexed="64"/>
      </patternFill>
    </fill>
    <fill>
      <patternFill patternType="solid">
        <fgColor rgb="FFFF0000"/>
        <bgColor indexed="64"/>
      </patternFill>
    </fill>
    <fill>
      <patternFill patternType="solid">
        <fgColor rgb="FFFF00FF"/>
        <bgColor indexed="64"/>
      </patternFill>
    </fill>
    <fill>
      <patternFill patternType="solid">
        <fgColor rgb="FFFFFF00"/>
        <bgColor indexed="64"/>
      </patternFill>
    </fill>
    <fill>
      <patternFill patternType="solid">
        <fgColor rgb="FFFFFFE0"/>
        <bgColor indexed="64"/>
      </patternFill>
    </fill>
    <fill>
      <patternFill patternType="solid">
        <fgColor rgb="FFFFFFFF"/>
        <bgColor indexed="64"/>
      </patternFill>
    </fill>
    <fill>
      <patternFill patternType="solid">
        <fgColor theme="0"/>
        <bgColor indexed="64"/>
      </patternFill>
    </fill>
    <fill>
      <patternFill patternType="solid">
        <fgColor rgb="FFF5F5F5"/>
        <bgColor indexed="64"/>
      </patternFill>
    </fill>
    <fill>
      <patternFill patternType="solid">
        <fgColor rgb="FFADD8E6"/>
        <bgColor indexed="64"/>
      </patternFill>
    </fill>
    <fill>
      <patternFill patternType="solid">
        <fgColor rgb="FF90EE90"/>
        <bgColor indexed="64"/>
      </patternFill>
    </fill>
    <fill>
      <patternFill patternType="solid">
        <fgColor rgb="FF8B0000"/>
        <bgColor indexed="64"/>
      </patternFill>
    </fill>
    <fill>
      <patternFill patternType="solid">
        <fgColor rgb="FFFF4500"/>
        <bgColor indexed="64"/>
      </patternFill>
    </fill>
    <fill>
      <patternFill patternType="solid">
        <fgColor rgb="FF006400"/>
        <bgColor indexed="64"/>
      </patternFill>
    </fill>
    <fill>
      <patternFill patternType="solid">
        <fgColor rgb="FFFF8C00"/>
        <bgColor indexed="64"/>
      </patternFill>
    </fill>
    <fill>
      <patternFill patternType="solid">
        <fgColor rgb="FFFFA500"/>
        <bgColor indexed="64"/>
      </patternFill>
    </fill>
    <fill>
      <patternFill patternType="solid">
        <fgColor rgb="FFFFD700"/>
        <bgColor indexed="64"/>
      </patternFill>
    </fill>
    <fill>
      <patternFill patternType="solid">
        <fgColor rgb="FF7CFC00"/>
        <bgColor indexed="64"/>
      </patternFill>
    </fill>
    <fill>
      <patternFill patternType="solid">
        <fgColor rgb="FF7FFF00"/>
        <bgColor indexed="64"/>
      </patternFill>
    </fill>
    <fill>
      <patternFill patternType="solid">
        <fgColor rgb="FFB8860B"/>
        <bgColor indexed="64"/>
      </patternFill>
    </fill>
    <fill>
      <patternFill patternType="solid">
        <fgColor rgb="FFDAA520"/>
        <bgColor indexed="64"/>
      </patternFill>
    </fill>
    <fill>
      <patternFill patternType="solid">
        <fgColor rgb="FFB22222"/>
        <bgColor indexed="64"/>
      </patternFill>
    </fill>
    <fill>
      <patternFill patternType="solid">
        <fgColor rgb="FF228B22"/>
        <bgColor indexed="64"/>
      </patternFill>
    </fill>
    <fill>
      <patternFill patternType="solid">
        <fgColor rgb="FF6B8E23"/>
        <bgColor indexed="64"/>
      </patternFill>
    </fill>
    <fill>
      <patternFill patternType="solid">
        <fgColor rgb="FFA52A2A"/>
        <bgColor indexed="64"/>
      </patternFill>
    </fill>
    <fill>
      <patternFill patternType="solid">
        <fgColor rgb="FFA0522D"/>
        <bgColor indexed="64"/>
      </patternFill>
    </fill>
    <fill>
      <patternFill patternType="solid">
        <fgColor rgb="FF556B2F"/>
        <bgColor indexed="64"/>
      </patternFill>
    </fill>
    <fill>
      <patternFill patternType="solid">
        <fgColor rgb="FFADFF2F"/>
        <bgColor indexed="64"/>
      </patternFill>
    </fill>
    <fill>
      <patternFill patternType="solid">
        <fgColor rgb="FF32CD32"/>
        <bgColor indexed="64"/>
      </patternFill>
    </fill>
    <fill>
      <patternFill patternType="solid">
        <fgColor rgb="FF9ACD32"/>
        <bgColor indexed="64"/>
      </patternFill>
    </fill>
    <fill>
      <patternFill patternType="solid">
        <fgColor rgb="FFDC143C"/>
        <bgColor indexed="64"/>
      </patternFill>
    </fill>
    <fill>
      <patternFill patternType="solid">
        <fgColor rgb="FFCD853F"/>
        <bgColor indexed="64"/>
      </patternFill>
    </fill>
    <fill>
      <patternFill patternType="solid">
        <fgColor rgb="FFFF6347"/>
        <bgColor indexed="64"/>
      </patternFill>
    </fill>
    <fill>
      <patternFill patternType="solid">
        <fgColor rgb="FF2F4F4F"/>
        <bgColor indexed="64"/>
      </patternFill>
    </fill>
    <fill>
      <patternFill patternType="solid">
        <fgColor rgb="FFFF7F50"/>
        <bgColor indexed="64"/>
      </patternFill>
    </fill>
    <fill>
      <patternFill patternType="solid">
        <fgColor rgb="FF2E8B57"/>
        <bgColor indexed="64"/>
      </patternFill>
    </fill>
    <fill>
      <patternFill patternType="solid">
        <fgColor rgb="FFCD5C5C"/>
        <bgColor indexed="64"/>
      </patternFill>
    </fill>
    <fill>
      <patternFill patternType="solid">
        <fgColor rgb="FFF4A460"/>
        <bgColor indexed="64"/>
      </patternFill>
    </fill>
    <fill>
      <patternFill patternType="solid">
        <fgColor rgb="FF696969"/>
        <bgColor indexed="64"/>
      </patternFill>
    </fill>
    <fill>
      <patternFill patternType="solid">
        <fgColor rgb="FFBDB76B"/>
        <bgColor indexed="64"/>
      </patternFill>
    </fill>
    <fill>
      <patternFill patternType="solid">
        <fgColor rgb="FFEEE86B"/>
        <bgColor indexed="64"/>
      </patternFill>
    </fill>
    <fill>
      <patternFill patternType="solid">
        <fgColor rgb="FF191970"/>
        <bgColor indexed="64"/>
      </patternFill>
    </fill>
    <fill>
      <patternFill patternType="solid">
        <fgColor rgb="FF3CB371"/>
        <bgColor indexed="64"/>
      </patternFill>
    </fill>
    <fill>
      <patternFill patternType="solid">
        <fgColor rgb="FFFA8072"/>
        <bgColor indexed="64"/>
      </patternFill>
    </fill>
    <fill>
      <patternFill patternType="solid">
        <fgColor rgb="FFE9967A"/>
        <bgColor indexed="64"/>
      </patternFill>
    </fill>
    <fill>
      <patternFill patternType="solid">
        <fgColor rgb="FFFFA07A"/>
        <bgColor indexed="64"/>
      </patternFill>
    </fill>
    <fill>
      <patternFill patternType="solid">
        <fgColor rgb="FF00FF7F"/>
        <bgColor indexed="64"/>
      </patternFill>
    </fill>
    <fill>
      <patternFill patternType="solid">
        <fgColor rgb="FFF08080"/>
        <bgColor indexed="64"/>
      </patternFill>
    </fill>
    <fill>
      <patternFill patternType="solid">
        <fgColor rgb="FF4B0082"/>
        <bgColor indexed="64"/>
      </patternFill>
    </fill>
    <fill>
      <patternFill patternType="solid">
        <fgColor rgb="FFC71585"/>
        <bgColor indexed="64"/>
      </patternFill>
    </fill>
    <fill>
      <patternFill patternType="solid">
        <fgColor rgb="FFDEB887"/>
        <bgColor indexed="64"/>
      </patternFill>
    </fill>
    <fill>
      <patternFill patternType="solid">
        <fgColor rgb="FF00008B"/>
        <bgColor indexed="64"/>
      </patternFill>
    </fill>
    <fill>
      <patternFill patternType="solid">
        <fgColor rgb="FF8B008B"/>
        <bgColor indexed="64"/>
      </patternFill>
    </fill>
    <fill>
      <patternFill patternType="solid">
        <fgColor rgb="FF483D8B"/>
        <bgColor indexed="64"/>
      </patternFill>
    </fill>
    <fill>
      <patternFill patternType="solid">
        <fgColor rgb="FF008B8B"/>
        <bgColor indexed="64"/>
      </patternFill>
    </fill>
    <fill>
      <patternFill patternType="solid">
        <fgColor rgb="FFD2B48C"/>
        <bgColor indexed="64"/>
      </patternFill>
    </fill>
    <fill>
      <patternFill patternType="solid">
        <fgColor rgb="FFF0E68C"/>
        <bgColor indexed="64"/>
      </patternFill>
    </fill>
    <fill>
      <patternFill patternType="solid">
        <fgColor rgb="FFBC8F8F"/>
        <bgColor indexed="64"/>
      </patternFill>
    </fill>
    <fill>
      <patternFill patternType="solid">
        <fgColor rgb="FF8FBC8F"/>
        <bgColor indexed="64"/>
      </patternFill>
    </fill>
    <fill>
      <patternFill patternType="solid">
        <fgColor rgb="FF708090"/>
        <bgColor indexed="64"/>
      </patternFill>
    </fill>
    <fill>
      <patternFill patternType="solid">
        <fgColor rgb="FFFF1493"/>
        <bgColor indexed="64"/>
      </patternFill>
    </fill>
    <fill>
      <patternFill patternType="solid">
        <fgColor rgb="FFDB7093"/>
        <bgColor indexed="64"/>
      </patternFill>
    </fill>
    <fill>
      <patternFill patternType="solid">
        <fgColor rgb="FF98FB98"/>
        <bgColor indexed="64"/>
      </patternFill>
    </fill>
    <fill>
      <patternFill patternType="solid">
        <fgColor rgb="FF778899"/>
        <bgColor indexed="64"/>
      </patternFill>
    </fill>
    <fill>
      <patternFill patternType="solid">
        <fgColor rgb="FF00FA9A"/>
        <bgColor indexed="64"/>
      </patternFill>
    </fill>
    <fill>
      <patternFill patternType="solid">
        <fgColor rgb="FF5F9EA0"/>
        <bgColor indexed="64"/>
      </patternFill>
    </fill>
    <fill>
      <patternFill patternType="solid">
        <fgColor rgb="FFA9A9A9"/>
        <bgColor indexed="64"/>
      </patternFill>
    </fill>
    <fill>
      <patternFill patternType="solid">
        <fgColor rgb="FF20B2AA"/>
        <bgColor indexed="64"/>
      </patternFill>
    </fill>
    <fill>
      <patternFill patternType="solid">
        <fgColor rgb="FF66FFAA"/>
        <bgColor indexed="64"/>
      </patternFill>
    </fill>
    <fill>
      <patternFill patternType="solid">
        <fgColor rgb="FFFFDEAD"/>
        <bgColor indexed="64"/>
      </patternFill>
    </fill>
    <fill>
      <patternFill patternType="solid">
        <fgColor rgb="FFF5DEB3"/>
        <bgColor indexed="64"/>
      </patternFill>
    </fill>
    <fill>
      <patternFill patternType="solid">
        <fgColor rgb="FFFF69B4"/>
        <bgColor indexed="64"/>
      </patternFill>
    </fill>
    <fill>
      <patternFill patternType="solid">
        <fgColor rgb="FF4682B4"/>
        <bgColor indexed="64"/>
      </patternFill>
    </fill>
    <fill>
      <patternFill patternType="solid">
        <fgColor rgb="FFFFE4B5"/>
        <bgColor indexed="64"/>
      </patternFill>
    </fill>
    <fill>
      <patternFill patternType="solid">
        <fgColor rgb="FFFFDAB9"/>
        <bgColor indexed="64"/>
      </patternFill>
    </fill>
    <fill>
      <patternFill patternType="solid">
        <fgColor rgb="FFFFB6C1"/>
        <bgColor indexed="64"/>
      </patternFill>
    </fill>
    <fill>
      <patternFill patternType="solid">
        <fgColor rgb="FFFFE4C4"/>
        <bgColor indexed="64"/>
      </patternFill>
    </fill>
    <fill>
      <patternFill patternType="solid">
        <fgColor rgb="FFFFC0CB"/>
        <bgColor indexed="64"/>
      </patternFill>
    </fill>
    <fill>
      <patternFill patternType="solid">
        <fgColor rgb="FF9932CC"/>
        <bgColor indexed="64"/>
      </patternFill>
    </fill>
    <fill>
      <patternFill patternType="solid">
        <fgColor rgb="FF48D1CC"/>
        <bgColor indexed="64"/>
      </patternFill>
    </fill>
    <fill>
      <patternFill patternType="solid">
        <fgColor rgb="FF0000CD"/>
        <bgColor indexed="64"/>
      </patternFill>
    </fill>
    <fill>
      <patternFill patternType="solid">
        <fgColor rgb="FF6A5ACD"/>
        <bgColor indexed="64"/>
      </patternFill>
    </fill>
    <fill>
      <patternFill patternType="solid">
        <fgColor rgb="FFFFEBCD"/>
        <bgColor indexed="64"/>
      </patternFill>
    </fill>
    <fill>
      <patternFill patternType="solid">
        <fgColor rgb="FFFFFACD"/>
        <bgColor indexed="64"/>
      </patternFill>
    </fill>
    <fill>
      <patternFill patternType="solid">
        <fgColor rgb="FF40E0D0"/>
        <bgColor indexed="64"/>
      </patternFill>
    </fill>
    <fill>
      <patternFill patternType="solid">
        <fgColor rgb="FF00CED1"/>
        <bgColor indexed="64"/>
      </patternFill>
    </fill>
    <fill>
      <patternFill patternType="solid">
        <fgColor rgb="FFFAFAD2"/>
        <bgColor indexed="64"/>
      </patternFill>
    </fill>
    <fill>
      <patternFill patternType="solid">
        <fgColor rgb="FF9400D3"/>
        <bgColor indexed="64"/>
      </patternFill>
    </fill>
    <fill>
      <patternFill patternType="solid">
        <fgColor rgb="FFBA55D3"/>
        <bgColor indexed="64"/>
      </patternFill>
    </fill>
    <fill>
      <patternFill patternType="solid">
        <fgColor rgb="FFD3D3D3"/>
        <bgColor indexed="64"/>
      </patternFill>
    </fill>
    <fill>
      <patternFill patternType="solid">
        <fgColor rgb="FF7FFFD4"/>
        <bgColor indexed="64"/>
      </patternFill>
    </fill>
    <fill>
      <patternFill patternType="solid">
        <fgColor rgb="FFFFEFD5"/>
        <bgColor indexed="64"/>
      </patternFill>
    </fill>
    <fill>
      <patternFill patternType="solid">
        <fgColor rgb="FFDA70D6"/>
        <bgColor indexed="64"/>
      </patternFill>
    </fill>
    <fill>
      <patternFill patternType="solid">
        <fgColor rgb="FFFAEBD7"/>
        <bgColor indexed="64"/>
      </patternFill>
    </fill>
    <fill>
      <patternFill patternType="solid">
        <fgColor rgb="FFD8BFD8"/>
        <bgColor indexed="64"/>
      </patternFill>
    </fill>
    <fill>
      <patternFill patternType="solid">
        <fgColor rgb="FF9370DB"/>
        <bgColor indexed="64"/>
      </patternFill>
    </fill>
    <fill>
      <patternFill patternType="solid">
        <fgColor rgb="FFDCDCDC"/>
        <bgColor indexed="64"/>
      </patternFill>
    </fill>
    <fill>
      <patternFill patternType="solid">
        <fgColor rgb="FFF5F5DC"/>
        <bgColor indexed="64"/>
      </patternFill>
    </fill>
    <fill>
      <patternFill patternType="solid">
        <fgColor rgb="FFFFF8DC"/>
        <bgColor indexed="64"/>
      </patternFill>
    </fill>
    <fill>
      <patternFill patternType="solid">
        <fgColor rgb="FFDDA0DD"/>
        <bgColor indexed="64"/>
      </patternFill>
    </fill>
    <fill>
      <patternFill patternType="solid">
        <fgColor rgb="FFB0C4DE"/>
        <bgColor indexed="64"/>
      </patternFill>
    </fill>
    <fill>
      <patternFill patternType="solid">
        <fgColor rgb="FF4169E1"/>
        <bgColor indexed="64"/>
      </patternFill>
    </fill>
    <fill>
      <patternFill patternType="solid">
        <fgColor rgb="FFFFE4E1"/>
        <bgColor indexed="64"/>
      </patternFill>
    </fill>
    <fill>
      <patternFill patternType="solid">
        <fgColor rgb="FF8A2BE2"/>
        <bgColor indexed="64"/>
      </patternFill>
    </fill>
    <fill>
      <patternFill patternType="solid">
        <fgColor rgb="FFB0E0E6"/>
        <bgColor indexed="64"/>
      </patternFill>
    </fill>
    <fill>
      <patternFill patternType="solid">
        <fgColor rgb="FFFAF0E6"/>
        <bgColor indexed="64"/>
      </patternFill>
    </fill>
    <fill>
      <patternFill patternType="solid">
        <fgColor rgb="FFFDF5E6"/>
        <bgColor indexed="64"/>
      </patternFill>
    </fill>
    <fill>
      <patternFill patternType="solid">
        <fgColor rgb="FF87CEEB"/>
        <bgColor indexed="64"/>
      </patternFill>
    </fill>
    <fill>
      <patternFill patternType="solid">
        <fgColor rgb="FF6495ED"/>
        <bgColor indexed="64"/>
      </patternFill>
    </fill>
    <fill>
      <patternFill patternType="solid">
        <fgColor rgb="FF7B68EE"/>
        <bgColor indexed="64"/>
      </patternFill>
    </fill>
    <fill>
      <patternFill patternType="solid">
        <fgColor rgb="FFEE82EE"/>
        <bgColor indexed="64"/>
      </patternFill>
    </fill>
    <fill>
      <patternFill patternType="solid">
        <fgColor rgb="FFAFEEEE"/>
        <bgColor indexed="64"/>
      </patternFill>
    </fill>
    <fill>
      <patternFill patternType="solid">
        <fgColor rgb="FFFFF5EE"/>
        <bgColor indexed="64"/>
      </patternFill>
    </fill>
    <fill>
      <patternFill patternType="solid">
        <fgColor rgb="FFFFFAF0"/>
        <bgColor indexed="64"/>
      </patternFill>
    </fill>
    <fill>
      <patternFill patternType="solid">
        <fgColor rgb="FFF0FFF0"/>
        <bgColor indexed="64"/>
      </patternFill>
    </fill>
    <fill>
      <patternFill patternType="solid">
        <fgColor rgb="FFFFFFF0"/>
        <bgColor indexed="64"/>
      </patternFill>
    </fill>
    <fill>
      <patternFill patternType="solid">
        <fgColor rgb="FFFFF0F5"/>
        <bgColor indexed="64"/>
      </patternFill>
    </fill>
    <fill>
      <patternFill patternType="solid">
        <fgColor rgb="FF87CEFA"/>
        <bgColor indexed="64"/>
      </patternFill>
    </fill>
    <fill>
      <patternFill patternType="solid">
        <fgColor rgb="FFE6E6FA"/>
        <bgColor indexed="64"/>
      </patternFill>
    </fill>
    <fill>
      <patternFill patternType="solid">
        <fgColor rgb="FFFFFAFA"/>
        <bgColor indexed="64"/>
      </patternFill>
    </fill>
    <fill>
      <patternFill patternType="solid">
        <fgColor rgb="FFF5FFFA"/>
        <bgColor indexed="64"/>
      </patternFill>
    </fill>
    <fill>
      <patternFill patternType="solid">
        <fgColor rgb="FF1E90FF"/>
        <bgColor indexed="64"/>
      </patternFill>
    </fill>
    <fill>
      <patternFill patternType="solid">
        <fgColor rgb="FF00BFFF"/>
        <bgColor indexed="64"/>
      </patternFill>
    </fill>
    <fill>
      <patternFill patternType="solid">
        <fgColor rgb="FFF0F8FF"/>
        <bgColor indexed="64"/>
      </patternFill>
    </fill>
    <fill>
      <patternFill patternType="solid">
        <fgColor rgb="FFF8F8FF"/>
        <bgColor indexed="64"/>
      </patternFill>
    </fill>
    <fill>
      <patternFill patternType="solid">
        <fgColor rgb="FFF0FFFF"/>
        <bgColor indexed="64"/>
      </patternFill>
    </fill>
    <fill>
      <patternFill patternType="solid">
        <fgColor theme="5" tint="0.59999389629810485"/>
        <bgColor indexed="64"/>
      </patternFill>
    </fill>
    <fill>
      <patternFill patternType="solid">
        <fgColor rgb="FF241503"/>
        <bgColor indexed="64"/>
      </patternFill>
    </fill>
    <fill>
      <patternFill patternType="solid">
        <fgColor rgb="FF2B0F0E"/>
        <bgColor indexed="64"/>
      </patternFill>
    </fill>
    <fill>
      <patternFill patternType="solid">
        <fgColor rgb="FF411900"/>
        <bgColor indexed="64"/>
      </patternFill>
    </fill>
    <fill>
      <patternFill patternType="solid">
        <fgColor rgb="FF682810"/>
        <bgColor indexed="64"/>
      </patternFill>
    </fill>
    <fill>
      <patternFill patternType="solid">
        <fgColor rgb="FFB78859"/>
        <bgColor indexed="64"/>
      </patternFill>
    </fill>
    <fill>
      <patternFill patternType="solid">
        <fgColor rgb="FF949494"/>
        <bgColor indexed="64"/>
      </patternFill>
    </fill>
    <fill>
      <patternFill patternType="solid">
        <fgColor rgb="FFBCB976"/>
        <bgColor indexed="64"/>
      </patternFill>
    </fill>
    <fill>
      <patternFill patternType="solid">
        <fgColor rgb="FFE49F64"/>
        <bgColor indexed="64"/>
      </patternFill>
    </fill>
    <fill>
      <patternFill patternType="solid">
        <fgColor rgb="FFED9742"/>
        <bgColor indexed="64"/>
      </patternFill>
    </fill>
    <fill>
      <patternFill patternType="solid">
        <fgColor rgb="FFD1CC4C"/>
        <bgColor indexed="64"/>
      </patternFill>
    </fill>
    <fill>
      <patternFill patternType="solid">
        <fgColor rgb="FFB26133"/>
        <bgColor indexed="64"/>
      </patternFill>
    </fill>
    <fill>
      <patternFill patternType="solid">
        <fgColor rgb="FFD4896A"/>
        <bgColor indexed="64"/>
      </patternFill>
    </fill>
    <fill>
      <patternFill patternType="solid">
        <fgColor rgb="FF986345"/>
        <bgColor indexed="64"/>
      </patternFill>
    </fill>
    <fill>
      <patternFill patternType="solid">
        <fgColor rgb="FFBF7582"/>
        <bgColor indexed="64"/>
      </patternFill>
    </fill>
    <fill>
      <patternFill patternType="solid">
        <fgColor rgb="FFEEF5C2"/>
        <bgColor indexed="64"/>
      </patternFill>
    </fill>
    <fill>
      <patternFill patternType="solid">
        <fgColor rgb="FFFBE7AB"/>
        <bgColor indexed="64"/>
      </patternFill>
    </fill>
    <fill>
      <patternFill patternType="solid">
        <fgColor rgb="FFD1717D"/>
        <bgColor indexed="64"/>
      </patternFill>
    </fill>
    <fill>
      <patternFill patternType="solid">
        <fgColor rgb="FFC07D33"/>
        <bgColor indexed="64"/>
      </patternFill>
    </fill>
    <fill>
      <patternFill patternType="solid">
        <fgColor rgb="FF826650"/>
        <bgColor indexed="64"/>
      </patternFill>
    </fill>
    <fill>
      <patternFill patternType="solid">
        <fgColor rgb="FF5C5543"/>
        <bgColor indexed="64"/>
      </patternFill>
    </fill>
    <fill>
      <patternFill patternType="solid">
        <fgColor rgb="FF696D7A"/>
        <bgColor indexed="64"/>
      </patternFill>
    </fill>
    <fill>
      <patternFill patternType="solid">
        <fgColor rgb="FF4D6E4D"/>
        <bgColor indexed="64"/>
      </patternFill>
    </fill>
    <fill>
      <patternFill patternType="solid">
        <fgColor rgb="FFDCBEDE"/>
        <bgColor indexed="64"/>
      </patternFill>
    </fill>
    <fill>
      <patternFill patternType="solid">
        <fgColor rgb="FF713623"/>
        <bgColor indexed="64"/>
      </patternFill>
    </fill>
    <fill>
      <patternFill patternType="solid">
        <fgColor rgb="FF91462F"/>
        <bgColor indexed="64"/>
      </patternFill>
    </fill>
    <fill>
      <patternFill patternType="solid">
        <fgColor rgb="FFC02D26"/>
        <bgColor indexed="64"/>
      </patternFill>
    </fill>
    <fill>
      <patternFill patternType="solid">
        <fgColor rgb="FFD85725"/>
        <bgColor indexed="64"/>
      </patternFill>
    </fill>
    <fill>
      <patternFill patternType="solid">
        <fgColor rgb="FF932434"/>
        <bgColor indexed="64"/>
      </patternFill>
    </fill>
    <fill>
      <patternFill patternType="solid">
        <fgColor rgb="FF5C2E1E"/>
        <bgColor indexed="64"/>
      </patternFill>
    </fill>
    <fill>
      <patternFill patternType="solid">
        <fgColor rgb="FF4A241B"/>
        <bgColor indexed="64"/>
      </patternFill>
    </fill>
    <fill>
      <patternFill patternType="solid">
        <fgColor rgb="FF761F38"/>
        <bgColor indexed="64"/>
      </patternFill>
    </fill>
    <fill>
      <patternFill patternType="solid">
        <fgColor rgb="FFD92730"/>
        <bgColor indexed="64"/>
      </patternFill>
    </fill>
    <fill>
      <patternFill patternType="solid">
        <fgColor rgb="FFFFAB3D"/>
        <bgColor indexed="64"/>
      </patternFill>
    </fill>
    <fill>
      <patternFill patternType="solid">
        <fgColor rgb="FFBB8CBA"/>
        <bgColor indexed="64"/>
      </patternFill>
    </fill>
    <fill>
      <patternFill patternType="solid">
        <fgColor rgb="FF636131"/>
        <bgColor indexed="64"/>
      </patternFill>
    </fill>
    <fill>
      <patternFill patternType="solid">
        <fgColor rgb="FFFFE69C"/>
        <bgColor indexed="64"/>
      </patternFill>
    </fill>
    <fill>
      <patternFill patternType="solid">
        <fgColor rgb="FFFF8835"/>
        <bgColor indexed="64"/>
      </patternFill>
    </fill>
    <fill>
      <patternFill patternType="solid">
        <fgColor rgb="FFA8C460"/>
        <bgColor indexed="64"/>
      </patternFill>
    </fill>
    <fill>
      <patternFill patternType="solid">
        <fgColor rgb="FF4D6A36"/>
        <bgColor indexed="64"/>
      </patternFill>
    </fill>
    <fill>
      <patternFill patternType="solid">
        <fgColor rgb="FF835148"/>
        <bgColor indexed="64"/>
      </patternFill>
    </fill>
    <fill>
      <patternFill patternType="solid">
        <fgColor rgb="FF374129"/>
        <bgColor indexed="64"/>
      </patternFill>
    </fill>
    <fill>
      <patternFill patternType="solid">
        <fgColor rgb="FFFFFB2B"/>
        <bgColor indexed="64"/>
      </patternFill>
    </fill>
    <fill>
      <patternFill patternType="solid">
        <fgColor rgb="FFF0FAFC"/>
        <bgColor indexed="64"/>
      </patternFill>
    </fill>
    <fill>
      <patternFill patternType="solid">
        <fgColor rgb="FFF9CA49"/>
        <bgColor indexed="64"/>
      </patternFill>
    </fill>
    <fill>
      <patternFill patternType="solid">
        <fgColor rgb="FFFFB0C8"/>
        <bgColor indexed="64"/>
      </patternFill>
    </fill>
    <fill>
      <patternFill patternType="solid">
        <fgColor rgb="FFFFD6BF"/>
        <bgColor indexed="64"/>
      </patternFill>
    </fill>
    <fill>
      <patternFill patternType="solid">
        <fgColor rgb="FF5A9E62"/>
        <bgColor indexed="64"/>
      </patternFill>
    </fill>
    <fill>
      <patternFill patternType="solid">
        <fgColor rgb="FFF69374"/>
        <bgColor indexed="64"/>
      </patternFill>
    </fill>
    <fill>
      <patternFill patternType="solid">
        <fgColor rgb="FFFFF0CB"/>
        <bgColor indexed="64"/>
      </patternFill>
    </fill>
    <fill>
      <patternFill patternType="solid">
        <fgColor rgb="FFFFFFC2"/>
        <bgColor indexed="64"/>
      </patternFill>
    </fill>
    <fill>
      <patternFill patternType="solid">
        <fgColor rgb="FFD2D6DF"/>
        <bgColor indexed="64"/>
      </patternFill>
    </fill>
    <fill>
      <patternFill patternType="solid">
        <fgColor rgb="FFFFCBCC"/>
        <bgColor indexed="64"/>
      </patternFill>
    </fill>
    <fill>
      <patternFill patternType="solid">
        <fgColor rgb="FF8BD6CA"/>
        <bgColor indexed="64"/>
      </patternFill>
    </fill>
    <fill>
      <patternFill patternType="solid">
        <fgColor rgb="FFEE5785"/>
        <bgColor indexed="64"/>
      </patternFill>
    </fill>
    <fill>
      <patternFill patternType="solid">
        <fgColor rgb="FFFD6332"/>
        <bgColor indexed="64"/>
      </patternFill>
    </fill>
    <fill>
      <patternFill patternType="solid">
        <fgColor rgb="FF6A8BBE"/>
        <bgColor indexed="64"/>
      </patternFill>
    </fill>
    <fill>
      <patternFill patternType="solid">
        <fgColor rgb="FFBA4539"/>
        <bgColor indexed="64"/>
      </patternFill>
    </fill>
    <fill>
      <patternFill patternType="solid">
        <fgColor rgb="FFC92A5A"/>
        <bgColor indexed="64"/>
      </patternFill>
    </fill>
    <fill>
      <patternFill patternType="solid">
        <fgColor rgb="FF9A68A3"/>
        <bgColor indexed="64"/>
      </patternFill>
    </fill>
    <fill>
      <patternFill patternType="solid">
        <fgColor rgb="FF683071"/>
        <bgColor indexed="64"/>
      </patternFill>
    </fill>
    <fill>
      <patternFill patternType="solid">
        <fgColor rgb="FFB3DCFC"/>
        <bgColor indexed="64"/>
      </patternFill>
    </fill>
    <fill>
      <patternFill patternType="solid">
        <fgColor rgb="FF51AECD"/>
        <bgColor indexed="64"/>
      </patternFill>
    </fill>
    <fill>
      <patternFill patternType="solid">
        <fgColor rgb="FF1F294C"/>
        <bgColor indexed="64"/>
      </patternFill>
    </fill>
    <fill>
      <patternFill patternType="solid">
        <fgColor rgb="FF18A29A"/>
        <bgColor indexed="64"/>
      </patternFill>
    </fill>
    <fill>
      <patternFill patternType="solid">
        <fgColor rgb="FF3E3A76"/>
        <bgColor indexed="64"/>
      </patternFill>
    </fill>
    <fill>
      <patternFill patternType="solid">
        <fgColor rgb="FF148A90"/>
        <bgColor indexed="64"/>
      </patternFill>
    </fill>
    <fill>
      <patternFill patternType="solid">
        <fgColor rgb="FF167991"/>
        <bgColor indexed="64"/>
      </patternFill>
    </fill>
    <fill>
      <patternFill patternType="solid">
        <fgColor rgb="FF2A558A"/>
        <bgColor indexed="64"/>
      </patternFill>
    </fill>
    <fill>
      <patternFill patternType="solid">
        <fgColor rgb="FF186770"/>
        <bgColor indexed="64"/>
      </patternFill>
    </fill>
    <fill>
      <patternFill patternType="solid">
        <fgColor rgb="FF16353A"/>
        <bgColor indexed="64"/>
      </patternFill>
    </fill>
    <fill>
      <patternFill patternType="solid">
        <fgColor rgb="FF1E6639"/>
        <bgColor indexed="64"/>
      </patternFill>
    </fill>
    <fill>
      <patternFill patternType="solid">
        <fgColor rgb="FF404045"/>
        <bgColor indexed="64"/>
      </patternFill>
    </fill>
    <fill>
      <patternFill patternType="solid">
        <fgColor rgb="FF337060"/>
        <bgColor indexed="64"/>
      </patternFill>
    </fill>
    <fill>
      <patternFill patternType="solid">
        <fgColor rgb="FF48654F"/>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9" tint="0.7999816888943144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5" fillId="0" borderId="0"/>
    <xf numFmtId="0" fontId="9" fillId="0" borderId="0" applyNumberFormat="0" applyFill="0" applyBorder="0" applyAlignment="0" applyProtection="0"/>
  </cellStyleXfs>
  <cellXfs count="399">
    <xf numFmtId="0" fontId="0" fillId="0" borderId="0" xfId="0"/>
    <xf numFmtId="0" fontId="2" fillId="18" borderId="0" xfId="0" applyFont="1" applyFill="1"/>
    <xf numFmtId="0" fontId="5" fillId="0" borderId="0" xfId="1"/>
    <xf numFmtId="0" fontId="1" fillId="144" borderId="0" xfId="0" applyFont="1" applyFill="1"/>
    <xf numFmtId="0" fontId="1" fillId="2" borderId="0" xfId="0" applyFont="1" applyFill="1"/>
    <xf numFmtId="0" fontId="2" fillId="189" borderId="0" xfId="0" applyFont="1" applyFill="1"/>
    <xf numFmtId="0" fontId="0" fillId="0" borderId="1" xfId="0" applyBorder="1" applyAlignment="1">
      <alignment vertical="top" wrapText="1"/>
    </xf>
    <xf numFmtId="0" fontId="2" fillId="21" borderId="1" xfId="0" applyFont="1" applyFill="1" applyBorder="1" applyAlignment="1">
      <alignment vertical="top" wrapText="1"/>
    </xf>
    <xf numFmtId="0" fontId="2" fillId="22" borderId="1" xfId="0" applyFont="1" applyFill="1" applyBorder="1" applyAlignment="1">
      <alignment vertical="top" wrapText="1"/>
    </xf>
    <xf numFmtId="0" fontId="4" fillId="22" borderId="1" xfId="0" applyFont="1" applyFill="1" applyBorder="1" applyAlignment="1">
      <alignment vertical="top" wrapText="1"/>
    </xf>
    <xf numFmtId="0" fontId="4" fillId="21" borderId="1" xfId="0" applyFont="1" applyFill="1" applyBorder="1" applyAlignment="1">
      <alignment vertical="top" wrapText="1"/>
    </xf>
    <xf numFmtId="0" fontId="0" fillId="22" borderId="1" xfId="0" applyFill="1" applyBorder="1" applyAlignment="1">
      <alignment vertical="top" wrapText="1"/>
    </xf>
    <xf numFmtId="0" fontId="0" fillId="21" borderId="1" xfId="0" applyFill="1" applyBorder="1" applyAlignment="1">
      <alignment vertical="top" wrapText="1"/>
    </xf>
    <xf numFmtId="0" fontId="2" fillId="0" borderId="1" xfId="0" applyFont="1" applyBorder="1" applyAlignment="1">
      <alignment vertical="top" wrapText="1"/>
    </xf>
    <xf numFmtId="0" fontId="0" fillId="0" borderId="1" xfId="0" quotePrefix="1" applyBorder="1" applyAlignment="1">
      <alignment vertical="top" wrapText="1"/>
    </xf>
    <xf numFmtId="0" fontId="0" fillId="18" borderId="1" xfId="0" applyFill="1" applyBorder="1" applyAlignment="1">
      <alignment vertical="top" wrapText="1"/>
    </xf>
    <xf numFmtId="0" fontId="0" fillId="0" borderId="0" xfId="0" applyAlignment="1">
      <alignment vertical="top" wrapText="1"/>
    </xf>
    <xf numFmtId="166" fontId="0" fillId="0" borderId="0" xfId="0" applyNumberFormat="1" applyAlignment="1">
      <alignment vertical="top" wrapText="1"/>
    </xf>
    <xf numFmtId="0" fontId="8" fillId="0" borderId="0" xfId="0" applyFont="1" applyAlignment="1">
      <alignment vertical="top" wrapText="1"/>
    </xf>
    <xf numFmtId="167" fontId="8" fillId="0" borderId="0" xfId="0" applyNumberFormat="1" applyFont="1" applyAlignment="1">
      <alignment vertical="top" wrapText="1"/>
    </xf>
    <xf numFmtId="164" fontId="0" fillId="0" borderId="0" xfId="0" applyNumberFormat="1"/>
    <xf numFmtId="165" fontId="0" fillId="0" borderId="0" xfId="0" applyNumberFormat="1"/>
    <xf numFmtId="14" fontId="0" fillId="0" borderId="0" xfId="0" applyNumberFormat="1"/>
    <xf numFmtId="0" fontId="0" fillId="0" borderId="0" xfId="0" applyAlignment="1">
      <alignment wrapText="1"/>
    </xf>
    <xf numFmtId="0" fontId="3" fillId="18" borderId="0" xfId="0" applyFont="1" applyFill="1" applyAlignment="1">
      <alignment horizontal="left" vertical="center" wrapText="1"/>
    </xf>
    <xf numFmtId="0" fontId="3" fillId="0" borderId="0" xfId="0" applyFont="1" applyAlignment="1">
      <alignment horizontal="left" vertical="center" wrapText="1"/>
    </xf>
    <xf numFmtId="0" fontId="0" fillId="138" borderId="0" xfId="0" applyFill="1" applyAlignment="1">
      <alignment wrapText="1"/>
    </xf>
    <xf numFmtId="0" fontId="0" fillId="138" borderId="0" xfId="0" applyFill="1"/>
    <xf numFmtId="0" fontId="2" fillId="18" borderId="0" xfId="0" applyFont="1" applyFill="1" applyAlignment="1">
      <alignment horizontal="left"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135" borderId="0" xfId="0" applyFill="1"/>
    <xf numFmtId="0" fontId="0" fillId="19" borderId="0" xfId="0" applyFill="1"/>
    <xf numFmtId="0" fontId="0" fillId="105" borderId="0" xfId="0" applyFill="1"/>
    <xf numFmtId="0" fontId="6" fillId="18" borderId="0" xfId="0" applyFont="1" applyFill="1"/>
    <xf numFmtId="0" fontId="0" fillId="158" borderId="0" xfId="0" applyFill="1"/>
    <xf numFmtId="0" fontId="4" fillId="0" borderId="0" xfId="0" applyFont="1"/>
    <xf numFmtId="0" fontId="0" fillId="8" borderId="0" xfId="0" applyFill="1"/>
    <xf numFmtId="0" fontId="0" fillId="18" borderId="0" xfId="0" applyFill="1"/>
    <xf numFmtId="0" fontId="0" fillId="102" borderId="0" xfId="0" applyFill="1"/>
    <xf numFmtId="0" fontId="0" fillId="137" borderId="0" xfId="0" applyFill="1"/>
    <xf numFmtId="0" fontId="0" fillId="109" borderId="0" xfId="0" applyFill="1"/>
    <xf numFmtId="0" fontId="0" fillId="88" borderId="0" xfId="0" applyFill="1"/>
    <xf numFmtId="0" fontId="0" fillId="2" borderId="0" xfId="0" applyFill="1"/>
    <xf numFmtId="0" fontId="0" fillId="94" borderId="0" xfId="0" applyFill="1"/>
    <xf numFmtId="0" fontId="4" fillId="0" borderId="0" xfId="0" applyFont="1" applyAlignment="1">
      <alignment horizontal="left" vertical="center" wrapText="1"/>
    </xf>
    <xf numFmtId="0" fontId="0" fillId="4" borderId="0" xfId="0" applyFill="1"/>
    <xf numFmtId="0" fontId="0" fillId="115" borderId="0" xfId="0" applyFill="1"/>
    <xf numFmtId="0" fontId="0" fillId="203" borderId="0" xfId="0" applyFill="1"/>
    <xf numFmtId="0" fontId="6" fillId="0" borderId="0" xfId="0" applyFont="1"/>
    <xf numFmtId="0" fontId="0" fillId="157" borderId="0" xfId="0" applyFill="1"/>
    <xf numFmtId="0" fontId="0" fillId="170" borderId="0" xfId="0" applyFill="1"/>
    <xf numFmtId="0" fontId="0" fillId="14" borderId="0" xfId="0" applyFill="1"/>
    <xf numFmtId="0" fontId="3" fillId="0" borderId="0" xfId="0" applyFont="1"/>
    <xf numFmtId="0" fontId="0" fillId="180" borderId="0" xfId="0" applyFill="1"/>
    <xf numFmtId="0" fontId="0" fillId="149" borderId="0" xfId="0" applyFill="1"/>
    <xf numFmtId="0" fontId="0" fillId="36" borderId="0" xfId="0" applyFill="1"/>
    <xf numFmtId="0" fontId="0" fillId="167" borderId="0" xfId="0" applyFill="1"/>
    <xf numFmtId="0" fontId="0" fillId="169" borderId="0" xfId="0" applyFill="1"/>
    <xf numFmtId="0" fontId="0" fillId="62" borderId="0" xfId="0" applyFill="1"/>
    <xf numFmtId="0" fontId="2" fillId="0" borderId="0" xfId="0" applyFont="1"/>
    <xf numFmtId="0" fontId="0" fillId="165" borderId="0" xfId="0" applyFill="1"/>
    <xf numFmtId="0" fontId="0" fillId="77" borderId="0" xfId="0" applyFill="1"/>
    <xf numFmtId="0" fontId="0" fillId="30" borderId="0" xfId="0" applyFill="1"/>
    <xf numFmtId="0" fontId="0" fillId="140" borderId="0" xfId="0" applyFill="1"/>
    <xf numFmtId="0" fontId="0" fillId="168" borderId="0" xfId="0" applyFill="1"/>
    <xf numFmtId="0" fontId="0" fillId="46" borderId="0" xfId="0" applyFill="1"/>
    <xf numFmtId="0" fontId="0" fillId="120" borderId="0" xfId="0" applyFill="1"/>
    <xf numFmtId="0" fontId="0" fillId="194" borderId="0" xfId="0" applyFill="1"/>
    <xf numFmtId="0" fontId="0" fillId="110" borderId="0" xfId="0" applyFill="1"/>
    <xf numFmtId="0" fontId="0" fillId="42" borderId="0" xfId="0" applyFill="1"/>
    <xf numFmtId="0" fontId="0" fillId="63" borderId="0" xfId="0" applyFill="1"/>
    <xf numFmtId="0" fontId="0" fillId="66" borderId="0" xfId="0" applyFill="1"/>
    <xf numFmtId="0" fontId="0" fillId="31" borderId="0" xfId="0" applyFill="1"/>
    <xf numFmtId="0" fontId="0" fillId="78" borderId="0" xfId="0" applyFill="1"/>
    <xf numFmtId="0" fontId="0" fillId="25" borderId="0" xfId="0" applyFill="1"/>
    <xf numFmtId="0" fontId="0" fillId="51" borderId="0" xfId="0" applyFill="1"/>
    <xf numFmtId="0" fontId="0" fillId="64" borderId="0" xfId="0" applyFill="1"/>
    <xf numFmtId="0" fontId="0" fillId="38" borderId="0" xfId="0" applyFill="1"/>
    <xf numFmtId="0" fontId="0" fillId="26" borderId="0" xfId="0" applyFill="1"/>
    <xf numFmtId="0" fontId="0" fillId="90" borderId="0" xfId="0" applyFill="1"/>
    <xf numFmtId="0" fontId="6" fillId="0" borderId="0" xfId="0" applyFont="1" applyAlignment="1">
      <alignment horizontal="left" vertical="center" wrapText="1"/>
    </xf>
    <xf numFmtId="0" fontId="0" fillId="23" borderId="0" xfId="0" applyFill="1"/>
    <xf numFmtId="0" fontId="0" fillId="56" borderId="0" xfId="0" applyFill="1"/>
    <xf numFmtId="0" fontId="0" fillId="70" borderId="0" xfId="0" applyFill="1"/>
    <xf numFmtId="0" fontId="0" fillId="65" borderId="0" xfId="0" applyFill="1"/>
    <xf numFmtId="0" fontId="0" fillId="45" borderId="0" xfId="0" applyFill="1"/>
    <xf numFmtId="0" fontId="0" fillId="97" borderId="0" xfId="0" applyFill="1"/>
    <xf numFmtId="0" fontId="0" fillId="99" borderId="0" xfId="0" applyFill="1"/>
    <xf numFmtId="0" fontId="0" fillId="143" borderId="0" xfId="0" applyFill="1"/>
    <xf numFmtId="0" fontId="0" fillId="141" borderId="0" xfId="0" applyFill="1"/>
    <xf numFmtId="0" fontId="0" fillId="195" borderId="0" xfId="0" applyFill="1"/>
    <xf numFmtId="0" fontId="0" fillId="206" borderId="0" xfId="0" applyFill="1"/>
    <xf numFmtId="0" fontId="0" fillId="179" borderId="0" xfId="0" applyFill="1"/>
    <xf numFmtId="0" fontId="0" fillId="159" borderId="0" xfId="0" applyFill="1"/>
    <xf numFmtId="0" fontId="0" fillId="197" borderId="0" xfId="0" applyFill="1"/>
    <xf numFmtId="0" fontId="0" fillId="192" borderId="0" xfId="0" applyFill="1"/>
    <xf numFmtId="0" fontId="0" fillId="198" borderId="0" xfId="0" applyFill="1"/>
    <xf numFmtId="0" fontId="0" fillId="166" borderId="0" xfId="0" applyFill="1"/>
    <xf numFmtId="0" fontId="0" fillId="196" borderId="0" xfId="0" applyFill="1"/>
    <xf numFmtId="0" fontId="0" fillId="201" borderId="0" xfId="0" applyFill="1"/>
    <xf numFmtId="0" fontId="0" fillId="150" borderId="0" xfId="0" applyFill="1"/>
    <xf numFmtId="0" fontId="4" fillId="18" borderId="0" xfId="0" applyFont="1" applyFill="1"/>
    <xf numFmtId="0" fontId="0" fillId="207" borderId="0" xfId="0" applyFill="1"/>
    <xf numFmtId="0" fontId="0" fillId="72" borderId="0" xfId="0" applyFill="1"/>
    <xf numFmtId="0" fontId="0" fillId="134" borderId="0" xfId="0" applyFill="1"/>
    <xf numFmtId="0" fontId="0" fillId="50" borderId="0" xfId="0" applyFill="1"/>
    <xf numFmtId="0" fontId="0" fillId="133" borderId="0" xfId="0" applyFill="1"/>
    <xf numFmtId="0" fontId="0" fillId="187" borderId="0" xfId="0" applyFill="1"/>
    <xf numFmtId="0" fontId="0" fillId="33" borderId="0" xfId="0" applyFill="1"/>
    <xf numFmtId="0" fontId="0" fillId="125" borderId="0" xfId="0" applyFill="1"/>
    <xf numFmtId="0" fontId="0" fillId="34" borderId="0" xfId="0" applyFill="1"/>
    <xf numFmtId="0" fontId="0" fillId="15" borderId="0" xfId="0" applyFill="1"/>
    <xf numFmtId="0" fontId="0" fillId="108" borderId="0" xfId="0" applyFill="1"/>
    <xf numFmtId="0" fontId="0" fillId="136" borderId="0" xfId="0" applyFill="1"/>
    <xf numFmtId="0" fontId="0" fillId="28" borderId="0" xfId="0" applyFill="1"/>
    <xf numFmtId="0" fontId="0" fillId="32" borderId="0" xfId="0" applyFill="1"/>
    <xf numFmtId="0" fontId="0" fillId="12" borderId="0" xfId="0" applyFill="1"/>
    <xf numFmtId="0" fontId="0" fillId="5" borderId="0" xfId="0" applyFill="1"/>
    <xf numFmtId="0" fontId="0" fillId="185" borderId="0" xfId="0" applyFill="1"/>
    <xf numFmtId="0" fontId="0" fillId="39" borderId="0" xfId="0" applyFill="1"/>
    <xf numFmtId="0" fontId="0" fillId="189" borderId="0" xfId="0" applyFill="1"/>
    <xf numFmtId="0" fontId="0" fillId="126" borderId="0" xfId="0" applyFill="1"/>
    <xf numFmtId="0" fontId="0" fillId="83" borderId="0" xfId="0" applyFill="1"/>
    <xf numFmtId="0" fontId="0" fillId="48" borderId="0" xfId="0" applyFill="1"/>
    <xf numFmtId="0" fontId="0" fillId="60" borderId="0" xfId="0" applyFill="1"/>
    <xf numFmtId="0" fontId="0" fillId="127" borderId="0" xfId="0" applyFill="1"/>
    <xf numFmtId="0" fontId="0" fillId="212" borderId="0" xfId="0" applyFill="1"/>
    <xf numFmtId="0" fontId="0" fillId="68" borderId="0" xfId="0" applyFill="1"/>
    <xf numFmtId="0" fontId="0" fillId="130" borderId="0" xfId="0" applyFill="1"/>
    <xf numFmtId="0" fontId="0" fillId="128" borderId="0" xfId="0" applyFill="1"/>
    <xf numFmtId="0" fontId="0" fillId="172" borderId="0" xfId="0" applyFill="1"/>
    <xf numFmtId="0" fontId="0" fillId="29" borderId="0" xfId="0" applyFill="1"/>
    <xf numFmtId="0" fontId="0" fillId="95" borderId="0" xfId="0" applyFill="1"/>
    <xf numFmtId="0" fontId="0" fillId="21" borderId="0" xfId="0" applyFill="1"/>
    <xf numFmtId="0" fontId="0" fillId="59" borderId="0" xfId="0" applyFill="1"/>
    <xf numFmtId="0" fontId="0" fillId="101" borderId="0" xfId="0" applyFill="1"/>
    <xf numFmtId="0" fontId="0" fillId="22" borderId="0" xfId="0" applyFill="1"/>
    <xf numFmtId="0" fontId="0" fillId="87" borderId="0" xfId="0" applyFill="1"/>
    <xf numFmtId="0" fontId="0" fillId="57" borderId="0" xfId="0" applyFill="1"/>
    <xf numFmtId="0" fontId="0" fillId="79" borderId="0" xfId="0" applyFill="1"/>
    <xf numFmtId="0" fontId="0" fillId="129" borderId="0" xfId="0" applyFill="1"/>
    <xf numFmtId="0" fontId="0" fillId="75" borderId="0" xfId="0" applyFill="1"/>
    <xf numFmtId="0" fontId="0" fillId="112" borderId="0" xfId="0" applyFill="1"/>
    <xf numFmtId="0" fontId="0" fillId="17" borderId="0" xfId="0" applyFill="1"/>
    <xf numFmtId="0" fontId="0" fillId="191" borderId="0" xfId="0" applyFill="1"/>
    <xf numFmtId="0" fontId="0" fillId="199" borderId="0" xfId="0" applyFill="1"/>
    <xf numFmtId="0" fontId="0" fillId="98" borderId="0" xfId="0" applyFill="1"/>
    <xf numFmtId="0" fontId="0" fillId="161" borderId="0" xfId="0" applyFill="1"/>
    <xf numFmtId="0" fontId="0" fillId="175" borderId="0" xfId="0" applyFill="1"/>
    <xf numFmtId="0" fontId="0" fillId="152" borderId="0" xfId="0" applyFill="1"/>
    <xf numFmtId="0" fontId="0" fillId="146" borderId="0" xfId="0" applyFill="1"/>
    <xf numFmtId="0" fontId="0" fillId="200" borderId="0" xfId="0" applyFill="1"/>
    <xf numFmtId="0" fontId="0" fillId="7" borderId="0" xfId="0" applyFill="1"/>
    <xf numFmtId="0" fontId="0" fillId="40" borderId="0" xfId="0" applyFill="1"/>
    <xf numFmtId="0" fontId="0" fillId="148" borderId="0" xfId="0" applyFill="1"/>
    <xf numFmtId="0" fontId="0" fillId="117" borderId="0" xfId="0" applyFill="1"/>
    <xf numFmtId="0" fontId="0" fillId="162" borderId="0" xfId="0" applyFill="1"/>
    <xf numFmtId="0" fontId="0" fillId="142" borderId="0" xfId="0" applyFill="1"/>
    <xf numFmtId="0" fontId="0" fillId="9" borderId="0" xfId="0" applyFill="1"/>
    <xf numFmtId="0" fontId="0" fillId="80" borderId="0" xfId="0" applyFill="1"/>
    <xf numFmtId="0" fontId="0" fillId="92" borderId="0" xfId="0" applyFill="1"/>
    <xf numFmtId="0" fontId="0" fillId="100" borderId="0" xfId="0" applyFill="1"/>
    <xf numFmtId="0" fontId="0" fillId="107" borderId="0" xfId="0" applyFill="1"/>
    <xf numFmtId="0" fontId="0" fillId="54" borderId="0" xfId="0" applyFill="1"/>
    <xf numFmtId="0" fontId="0" fillId="121" borderId="0" xfId="0" applyFill="1"/>
    <xf numFmtId="0" fontId="0" fillId="76" borderId="0" xfId="0" applyFill="1"/>
    <xf numFmtId="0" fontId="0" fillId="91" borderId="0" xfId="0" applyFill="1"/>
    <xf numFmtId="0" fontId="0" fillId="61" borderId="0" xfId="0" applyFill="1"/>
    <xf numFmtId="0" fontId="0" fillId="202" borderId="0" xfId="0" applyFill="1"/>
    <xf numFmtId="0" fontId="0" fillId="151" borderId="0" xfId="0" applyFill="1"/>
    <xf numFmtId="0" fontId="0" fillId="160" borderId="0" xfId="0" applyFill="1"/>
    <xf numFmtId="0" fontId="0" fillId="147" borderId="0" xfId="0" applyFill="1"/>
    <xf numFmtId="0" fontId="0" fillId="144" borderId="0" xfId="0" applyFill="1"/>
    <xf numFmtId="0" fontId="0" fillId="205" borderId="0" xfId="0" applyFill="1"/>
    <xf numFmtId="0" fontId="0" fillId="53" borderId="0" xfId="0" applyFill="1"/>
    <xf numFmtId="0" fontId="0" fillId="132" borderId="0" xfId="0" applyFill="1"/>
    <xf numFmtId="0" fontId="0" fillId="114" borderId="0" xfId="0" applyFill="1"/>
    <xf numFmtId="0" fontId="0" fillId="85" borderId="0" xfId="0" applyFill="1"/>
    <xf numFmtId="0" fontId="0" fillId="173" borderId="0" xfId="0" applyFill="1"/>
    <xf numFmtId="0" fontId="0" fillId="81" borderId="0" xfId="0" applyFill="1"/>
    <xf numFmtId="0" fontId="0" fillId="3" borderId="0" xfId="0" applyFill="1"/>
    <xf numFmtId="0" fontId="0" fillId="213" borderId="0" xfId="0" applyFill="1"/>
    <xf numFmtId="0" fontId="0" fillId="208" borderId="0" xfId="0" applyFill="1"/>
    <xf numFmtId="0" fontId="0" fillId="118" borderId="0" xfId="0" applyFill="1"/>
    <xf numFmtId="0" fontId="0" fillId="11" borderId="0" xfId="0" applyFill="1"/>
    <xf numFmtId="0" fontId="0" fillId="35" borderId="0" xfId="0" applyFill="1"/>
    <xf numFmtId="0" fontId="0" fillId="27" borderId="0" xfId="0" applyFill="1"/>
    <xf numFmtId="0" fontId="0" fillId="193" borderId="0" xfId="0" applyFill="1"/>
    <xf numFmtId="0" fontId="0" fillId="24" borderId="0" xfId="0" applyFill="1"/>
    <xf numFmtId="0" fontId="0" fillId="104" borderId="0" xfId="0" applyFill="1"/>
    <xf numFmtId="0" fontId="0" fillId="209" borderId="0" xfId="0" applyFill="1"/>
    <xf numFmtId="0" fontId="0" fillId="52" borderId="0" xfId="0" applyFill="1"/>
    <xf numFmtId="0" fontId="0" fillId="74" borderId="0" xfId="0" applyFill="1"/>
    <xf numFmtId="0" fontId="0" fillId="123" borderId="0" xfId="0" applyFill="1"/>
    <xf numFmtId="0" fontId="0" fillId="73" borderId="0" xfId="0" applyFill="1"/>
    <xf numFmtId="0" fontId="0" fillId="156" borderId="0" xfId="0" applyFill="1"/>
    <xf numFmtId="0" fontId="0" fillId="153" borderId="0" xfId="0" applyFill="1"/>
    <xf numFmtId="0" fontId="0" fillId="184" borderId="0" xfId="0" applyFill="1"/>
    <xf numFmtId="0" fontId="0" fillId="190" borderId="0" xfId="0" applyFill="1"/>
    <xf numFmtId="0" fontId="0" fillId="145" borderId="0" xfId="0" applyFill="1"/>
    <xf numFmtId="0" fontId="0" fillId="174" borderId="0" xfId="0" applyFill="1"/>
    <xf numFmtId="0" fontId="0" fillId="103" borderId="0" xfId="0" applyFill="1"/>
    <xf numFmtId="0" fontId="0" fillId="86" borderId="0" xfId="0" applyFill="1"/>
    <xf numFmtId="0" fontId="0" fillId="43" borderId="0" xfId="0" applyFill="1"/>
    <xf numFmtId="0" fontId="0" fillId="210" borderId="0" xfId="0" applyFill="1"/>
    <xf numFmtId="0" fontId="0" fillId="89" borderId="0" xfId="0" applyFill="1"/>
    <xf numFmtId="0" fontId="0" fillId="183" borderId="0" xfId="0" applyFill="1"/>
    <xf numFmtId="0" fontId="0" fillId="111" borderId="0" xfId="0" applyFill="1"/>
    <xf numFmtId="0" fontId="0" fillId="116" borderId="0" xfId="0" applyFill="1"/>
    <xf numFmtId="0" fontId="0" fillId="10" borderId="0" xfId="0" applyFill="1"/>
    <xf numFmtId="0" fontId="0" fillId="177" borderId="0" xfId="0" applyFill="1"/>
    <xf numFmtId="0" fontId="0" fillId="139" borderId="0" xfId="0" applyFill="1"/>
    <xf numFmtId="0" fontId="0" fillId="164" borderId="0" xfId="0" applyFill="1"/>
    <xf numFmtId="0" fontId="0" fillId="155" borderId="0" xfId="0" applyFill="1"/>
    <xf numFmtId="0" fontId="0" fillId="178" borderId="0" xfId="0" applyFill="1"/>
    <xf numFmtId="0" fontId="0" fillId="69" borderId="0" xfId="0" applyFill="1"/>
    <xf numFmtId="0" fontId="0" fillId="113" borderId="0" xfId="0" applyFill="1"/>
    <xf numFmtId="0" fontId="0" fillId="55" borderId="0" xfId="0" applyFill="1"/>
    <xf numFmtId="0" fontId="0" fillId="186" borderId="0" xfId="0" applyFill="1"/>
    <xf numFmtId="0" fontId="0" fillId="49" borderId="0" xfId="0" applyFill="1"/>
    <xf numFmtId="0" fontId="0" fillId="47" borderId="0" xfId="0" applyFill="1"/>
    <xf numFmtId="0" fontId="0" fillId="211" borderId="0" xfId="0" applyFill="1"/>
    <xf numFmtId="0" fontId="0" fillId="124" borderId="0" xfId="0" applyFill="1"/>
    <xf numFmtId="0" fontId="0" fillId="37" borderId="0" xfId="0" applyFill="1"/>
    <xf numFmtId="0" fontId="0" fillId="13" borderId="0" xfId="0" applyFill="1"/>
    <xf numFmtId="0" fontId="0" fillId="119" borderId="0" xfId="0" applyFill="1"/>
    <xf numFmtId="0" fontId="0" fillId="93" borderId="0" xfId="0" applyFill="1"/>
    <xf numFmtId="0" fontId="0" fillId="71" borderId="0" xfId="0" applyFill="1"/>
    <xf numFmtId="0" fontId="0" fillId="131" borderId="0" xfId="0" applyFill="1"/>
    <xf numFmtId="0" fontId="0" fillId="58" borderId="0" xfId="0" applyFill="1"/>
    <xf numFmtId="0" fontId="0" fillId="176" borderId="0" xfId="0" applyFill="1"/>
    <xf numFmtId="0" fontId="0" fillId="84" borderId="0" xfId="0" applyFill="1"/>
    <xf numFmtId="0" fontId="0" fillId="171" borderId="0" xfId="0" applyFill="1"/>
    <xf numFmtId="0" fontId="0" fillId="188" borderId="0" xfId="0" applyFill="1"/>
    <xf numFmtId="0" fontId="0" fillId="67" borderId="0" xfId="0" applyFill="1"/>
    <xf numFmtId="0" fontId="0" fillId="6" borderId="0" xfId="0" applyFill="1"/>
    <xf numFmtId="0" fontId="0" fillId="163" borderId="0" xfId="0" applyFill="1"/>
    <xf numFmtId="0" fontId="0" fillId="106" borderId="0" xfId="0" applyFill="1"/>
    <xf numFmtId="0" fontId="0" fillId="44" borderId="0" xfId="0" applyFill="1"/>
    <xf numFmtId="0" fontId="0" fillId="96" borderId="0" xfId="0" applyFill="1"/>
    <xf numFmtId="0" fontId="0" fillId="204" borderId="0" xfId="0" applyFill="1"/>
    <xf numFmtId="0" fontId="0" fillId="154" borderId="0" xfId="0" applyFill="1"/>
    <xf numFmtId="0" fontId="0" fillId="181" borderId="0" xfId="0" applyFill="1"/>
    <xf numFmtId="0" fontId="0" fillId="122" borderId="0" xfId="0" applyFill="1"/>
    <xf numFmtId="0" fontId="0" fillId="82" borderId="0" xfId="0" applyFill="1"/>
    <xf numFmtId="0" fontId="0" fillId="20" borderId="0" xfId="0" applyFill="1"/>
    <xf numFmtId="0" fontId="0" fillId="16" borderId="0" xfId="0" applyFill="1"/>
    <xf numFmtId="0" fontId="0" fillId="41" borderId="0" xfId="0" applyFill="1"/>
    <xf numFmtId="0" fontId="0" fillId="182" borderId="0" xfId="0" applyFill="1"/>
    <xf numFmtId="0" fontId="2" fillId="0" borderId="1" xfId="0" quotePrefix="1" applyFont="1" applyBorder="1" applyAlignment="1">
      <alignment vertical="top" wrapText="1"/>
    </xf>
    <xf numFmtId="0" fontId="2" fillId="18" borderId="1" xfId="0" applyFont="1" applyFill="1" applyBorder="1" applyAlignment="1">
      <alignment vertical="top" wrapText="1"/>
    </xf>
    <xf numFmtId="0" fontId="7" fillId="158" borderId="0" xfId="0" applyFont="1" applyFill="1" applyAlignment="1">
      <alignment wrapText="1"/>
    </xf>
    <xf numFmtId="0" fontId="7" fillId="2" borderId="0" xfId="0" applyFont="1" applyFill="1" applyAlignment="1">
      <alignment wrapText="1"/>
    </xf>
    <xf numFmtId="0" fontId="7" fillId="203" borderId="0" xfId="0" applyFont="1" applyFill="1" applyAlignment="1">
      <alignment wrapText="1"/>
    </xf>
    <xf numFmtId="0" fontId="7" fillId="157" borderId="0" xfId="0" applyFont="1" applyFill="1" applyAlignment="1">
      <alignment wrapText="1"/>
    </xf>
    <xf numFmtId="0" fontId="7" fillId="170" borderId="0" xfId="0" applyFont="1" applyFill="1" applyAlignment="1">
      <alignment wrapText="1"/>
    </xf>
    <xf numFmtId="0" fontId="7" fillId="149" borderId="0" xfId="0" applyFont="1" applyFill="1" applyAlignment="1">
      <alignment wrapText="1"/>
    </xf>
    <xf numFmtId="0" fontId="7" fillId="167" borderId="0" xfId="0" applyFont="1" applyFill="1" applyAlignment="1">
      <alignment wrapText="1"/>
    </xf>
    <xf numFmtId="0" fontId="7" fillId="169" borderId="0" xfId="0" applyFont="1" applyFill="1" applyAlignment="1">
      <alignment wrapText="1"/>
    </xf>
    <xf numFmtId="0" fontId="7" fillId="165" borderId="0" xfId="0" applyFont="1" applyFill="1" applyAlignment="1">
      <alignment wrapText="1"/>
    </xf>
    <xf numFmtId="0" fontId="7" fillId="168" borderId="0" xfId="0" applyFont="1" applyFill="1" applyAlignment="1">
      <alignment wrapText="1"/>
    </xf>
    <xf numFmtId="0" fontId="7" fillId="194" borderId="0" xfId="0" applyFont="1" applyFill="1" applyAlignment="1">
      <alignment wrapText="1"/>
    </xf>
    <xf numFmtId="0" fontId="7" fillId="143" borderId="0" xfId="0" applyFont="1" applyFill="1" applyAlignment="1">
      <alignment wrapText="1"/>
    </xf>
    <xf numFmtId="0" fontId="7" fillId="195" borderId="0" xfId="0" applyFont="1" applyFill="1" applyAlignment="1">
      <alignment wrapText="1"/>
    </xf>
    <xf numFmtId="0" fontId="7" fillId="206" borderId="0" xfId="0" applyFont="1" applyFill="1" applyAlignment="1">
      <alignment wrapText="1"/>
    </xf>
    <xf numFmtId="0" fontId="7" fillId="179" borderId="0" xfId="0" applyFont="1" applyFill="1" applyAlignment="1">
      <alignment wrapText="1"/>
    </xf>
    <xf numFmtId="0" fontId="7" fillId="159" borderId="0" xfId="0" applyFont="1" applyFill="1" applyAlignment="1">
      <alignment wrapText="1"/>
    </xf>
    <xf numFmtId="0" fontId="7" fillId="197" borderId="0" xfId="0" applyFont="1" applyFill="1" applyAlignment="1">
      <alignment wrapText="1"/>
    </xf>
    <xf numFmtId="0" fontId="7" fillId="198" borderId="0" xfId="0" applyFont="1" applyFill="1" applyAlignment="1">
      <alignment wrapText="1"/>
    </xf>
    <xf numFmtId="0" fontId="7" fillId="166" borderId="0" xfId="0" applyFont="1" applyFill="1" applyAlignment="1">
      <alignment wrapText="1"/>
    </xf>
    <xf numFmtId="0" fontId="7" fillId="196" borderId="0" xfId="0" applyFont="1" applyFill="1" applyAlignment="1">
      <alignment wrapText="1"/>
    </xf>
    <xf numFmtId="0" fontId="7" fillId="201" borderId="0" xfId="0" applyFont="1" applyFill="1" applyAlignment="1">
      <alignment wrapText="1"/>
    </xf>
    <xf numFmtId="0" fontId="7" fillId="207" borderId="0" xfId="0" applyFont="1" applyFill="1" applyAlignment="1">
      <alignment wrapText="1"/>
    </xf>
    <xf numFmtId="0" fontId="7" fillId="185" borderId="0" xfId="0" applyFont="1" applyFill="1" applyAlignment="1">
      <alignment wrapText="1"/>
    </xf>
    <xf numFmtId="0" fontId="7" fillId="212" borderId="0" xfId="0" applyFont="1" applyFill="1" applyAlignment="1">
      <alignment wrapText="1"/>
    </xf>
    <xf numFmtId="0" fontId="7" fillId="152" borderId="0" xfId="0" applyFont="1" applyFill="1" applyAlignment="1">
      <alignment wrapText="1"/>
    </xf>
    <xf numFmtId="0" fontId="7" fillId="162" borderId="0" xfId="0" applyFont="1" applyFill="1" applyAlignment="1">
      <alignment wrapText="1"/>
    </xf>
    <xf numFmtId="0" fontId="7" fillId="202" borderId="0" xfId="0" applyFont="1" applyFill="1" applyAlignment="1">
      <alignment wrapText="1"/>
    </xf>
    <xf numFmtId="0" fontId="7" fillId="151" borderId="0" xfId="0" applyFont="1" applyFill="1" applyAlignment="1">
      <alignment wrapText="1"/>
    </xf>
    <xf numFmtId="0" fontId="7" fillId="160" borderId="0" xfId="0" applyFont="1" applyFill="1" applyAlignment="1">
      <alignment wrapText="1"/>
    </xf>
    <xf numFmtId="0" fontId="7" fillId="144" borderId="0" xfId="0" applyFont="1" applyFill="1" applyAlignment="1">
      <alignment wrapText="1"/>
    </xf>
    <xf numFmtId="0" fontId="7" fillId="205" borderId="0" xfId="0" applyFont="1" applyFill="1" applyAlignment="1">
      <alignment wrapText="1"/>
    </xf>
    <xf numFmtId="0" fontId="7" fillId="173" borderId="0" xfId="0" applyFont="1" applyFill="1" applyAlignment="1">
      <alignment wrapText="1"/>
    </xf>
    <xf numFmtId="0" fontId="7" fillId="208" borderId="0" xfId="0" applyFont="1" applyFill="1" applyAlignment="1">
      <alignment wrapText="1"/>
    </xf>
    <xf numFmtId="0" fontId="7" fillId="209" borderId="0" xfId="0" applyFont="1" applyFill="1" applyAlignment="1">
      <alignment wrapText="1"/>
    </xf>
    <xf numFmtId="0" fontId="7" fillId="156" borderId="0" xfId="0" applyFont="1" applyFill="1" applyAlignment="1">
      <alignment wrapText="1"/>
    </xf>
    <xf numFmtId="0" fontId="7" fillId="210" borderId="0" xfId="0" applyFont="1" applyFill="1" applyAlignment="1">
      <alignment wrapText="1"/>
    </xf>
    <xf numFmtId="0" fontId="7" fillId="177" borderId="0" xfId="0" applyFont="1" applyFill="1" applyAlignment="1">
      <alignment wrapText="1"/>
    </xf>
    <xf numFmtId="0" fontId="7" fillId="164" borderId="0" xfId="0" applyFont="1" applyFill="1" applyAlignment="1">
      <alignment wrapText="1"/>
    </xf>
    <xf numFmtId="0" fontId="7" fillId="155" borderId="0" xfId="0" applyFont="1" applyFill="1" applyAlignment="1">
      <alignment wrapText="1"/>
    </xf>
    <xf numFmtId="0" fontId="7" fillId="178" borderId="0" xfId="0" applyFont="1" applyFill="1" applyAlignment="1">
      <alignment wrapText="1"/>
    </xf>
    <xf numFmtId="0" fontId="7" fillId="211" borderId="0" xfId="0" applyFont="1" applyFill="1" applyAlignment="1">
      <alignment wrapText="1"/>
    </xf>
    <xf numFmtId="0" fontId="7" fillId="163" borderId="0" xfId="0" applyFont="1" applyFill="1" applyAlignment="1">
      <alignment wrapText="1"/>
    </xf>
    <xf numFmtId="0" fontId="7" fillId="204" borderId="0" xfId="0" applyFont="1" applyFill="1" applyAlignment="1">
      <alignment wrapText="1"/>
    </xf>
    <xf numFmtId="0" fontId="0" fillId="0" borderId="0" xfId="0" applyAlignment="1">
      <alignment horizontal="left"/>
    </xf>
    <xf numFmtId="0" fontId="9" fillId="0" borderId="0" xfId="2"/>
    <xf numFmtId="0" fontId="0" fillId="214" borderId="0" xfId="0" applyFill="1"/>
    <xf numFmtId="0" fontId="0" fillId="215" borderId="0" xfId="0" applyFill="1"/>
    <xf numFmtId="0" fontId="3" fillId="214" borderId="0" xfId="0" applyFont="1" applyFill="1"/>
    <xf numFmtId="0" fontId="3" fillId="215" borderId="0" xfId="0" applyFont="1" applyFill="1"/>
    <xf numFmtId="0" fontId="2" fillId="174" borderId="0" xfId="0" applyFont="1" applyFill="1"/>
    <xf numFmtId="0" fontId="2" fillId="145" borderId="0" xfId="0" applyFont="1" applyFill="1"/>
    <xf numFmtId="0" fontId="1" fillId="206" borderId="0" xfId="0" applyFont="1" applyFill="1"/>
    <xf numFmtId="0" fontId="1" fillId="194" borderId="0" xfId="0" applyFont="1" applyFill="1"/>
    <xf numFmtId="0" fontId="1" fillId="201" borderId="0" xfId="0" applyFont="1" applyFill="1"/>
    <xf numFmtId="0" fontId="1" fillId="208" borderId="0" xfId="0" applyFont="1" applyFill="1"/>
    <xf numFmtId="0" fontId="1" fillId="203" borderId="0" xfId="0" applyFont="1" applyFill="1"/>
    <xf numFmtId="0" fontId="1" fillId="159" borderId="0" xfId="0" applyFont="1" applyFill="1"/>
    <xf numFmtId="0" fontId="2" fillId="191" borderId="0" xfId="0" applyFont="1" applyFill="1"/>
    <xf numFmtId="0" fontId="2" fillId="153" borderId="0" xfId="0" applyFont="1" applyFill="1"/>
    <xf numFmtId="0" fontId="2" fillId="180" borderId="0" xfId="0" applyFont="1" applyFill="1"/>
    <xf numFmtId="0" fontId="1" fillId="211" borderId="0" xfId="0" applyFont="1" applyFill="1"/>
    <xf numFmtId="0" fontId="2" fillId="199" borderId="0" xfId="0" applyFont="1" applyFill="1"/>
    <xf numFmtId="0" fontId="10" fillId="180" borderId="0" xfId="0" applyFont="1" applyFill="1" applyAlignment="1">
      <alignment wrapText="1"/>
    </xf>
    <xf numFmtId="0" fontId="10" fillId="193" borderId="0" xfId="0" applyFont="1" applyFill="1" applyAlignment="1">
      <alignment wrapText="1"/>
    </xf>
    <xf numFmtId="0" fontId="10" fillId="175" borderId="0" xfId="0" applyFont="1" applyFill="1" applyAlignment="1">
      <alignment wrapText="1"/>
    </xf>
    <xf numFmtId="0" fontId="10" fillId="171" borderId="0" xfId="0" applyFont="1" applyFill="1" applyAlignment="1">
      <alignment wrapText="1"/>
    </xf>
    <xf numFmtId="0" fontId="10" fillId="147" borderId="0" xfId="0" applyFont="1" applyFill="1" applyAlignment="1">
      <alignment wrapText="1"/>
    </xf>
    <xf numFmtId="0" fontId="10" fillId="182" borderId="0" xfId="0" applyFont="1" applyFill="1" applyAlignment="1">
      <alignment wrapText="1"/>
    </xf>
    <xf numFmtId="0" fontId="10" fillId="148" borderId="0" xfId="0" applyFont="1" applyFill="1" applyAlignment="1">
      <alignment wrapText="1"/>
    </xf>
    <xf numFmtId="0" fontId="10" fillId="192" borderId="0" xfId="0" applyFont="1" applyFill="1" applyAlignment="1">
      <alignment wrapText="1"/>
    </xf>
    <xf numFmtId="0" fontId="10" fillId="200" borderId="0" xfId="0" applyFont="1" applyFill="1" applyAlignment="1">
      <alignment wrapText="1"/>
    </xf>
    <xf numFmtId="0" fontId="10" fillId="146" borderId="0" xfId="0" applyFont="1" applyFill="1" applyAlignment="1">
      <alignment wrapText="1"/>
    </xf>
    <xf numFmtId="0" fontId="10" fillId="186" borderId="0" xfId="0" applyFont="1" applyFill="1" applyAlignment="1">
      <alignment wrapText="1"/>
    </xf>
    <xf numFmtId="0" fontId="10" fillId="176" borderId="0" xfId="0" applyFont="1" applyFill="1" applyAlignment="1">
      <alignment wrapText="1"/>
    </xf>
    <xf numFmtId="0" fontId="10" fillId="150" borderId="0" xfId="0" applyFont="1" applyFill="1" applyAlignment="1">
      <alignment wrapText="1"/>
    </xf>
    <xf numFmtId="0" fontId="10" fillId="174" borderId="0" xfId="0" applyFont="1" applyFill="1" applyAlignment="1">
      <alignment wrapText="1"/>
    </xf>
    <xf numFmtId="0" fontId="10" fillId="145" borderId="0" xfId="0" applyFont="1" applyFill="1" applyAlignment="1">
      <alignment wrapText="1"/>
    </xf>
    <xf numFmtId="0" fontId="10" fillId="191" borderId="0" xfId="0" applyFont="1" applyFill="1" applyAlignment="1">
      <alignment wrapText="1"/>
    </xf>
    <xf numFmtId="0" fontId="10" fillId="154" borderId="0" xfId="0" applyFont="1" applyFill="1" applyAlignment="1">
      <alignment wrapText="1"/>
    </xf>
    <xf numFmtId="0" fontId="10" fillId="183" borderId="0" xfId="0" applyFont="1" applyFill="1" applyAlignment="1">
      <alignment wrapText="1"/>
    </xf>
    <xf numFmtId="0" fontId="10" fillId="199" borderId="0" xfId="0" applyFont="1" applyFill="1" applyAlignment="1">
      <alignment wrapText="1"/>
    </xf>
    <xf numFmtId="0" fontId="10" fillId="184" borderId="0" xfId="0" applyFont="1" applyFill="1" applyAlignment="1">
      <alignment wrapText="1"/>
    </xf>
    <xf numFmtId="0" fontId="10" fillId="172" borderId="0" xfId="0" applyFont="1" applyFill="1" applyAlignment="1">
      <alignment wrapText="1"/>
    </xf>
    <xf numFmtId="0" fontId="10" fillId="188" borderId="0" xfId="0" applyFont="1" applyFill="1" applyAlignment="1">
      <alignment wrapText="1"/>
    </xf>
    <xf numFmtId="0" fontId="10" fillId="153" borderId="0" xfId="0" applyFont="1" applyFill="1" applyAlignment="1">
      <alignment wrapText="1"/>
    </xf>
    <xf numFmtId="0" fontId="10" fillId="187" borderId="0" xfId="0" applyFont="1" applyFill="1" applyAlignment="1">
      <alignment wrapText="1"/>
    </xf>
    <xf numFmtId="0" fontId="10" fillId="190" borderId="0" xfId="0" applyFont="1" applyFill="1" applyAlignment="1">
      <alignment wrapText="1"/>
    </xf>
    <xf numFmtId="0" fontId="10" fillId="161" borderId="0" xfId="0" applyFont="1" applyFill="1" applyAlignment="1">
      <alignment wrapText="1"/>
    </xf>
    <xf numFmtId="0" fontId="10" fillId="189" borderId="0" xfId="0" applyFont="1" applyFill="1" applyAlignment="1">
      <alignment wrapText="1"/>
    </xf>
    <xf numFmtId="0" fontId="10" fillId="181" borderId="0" xfId="0" applyFont="1" applyFill="1" applyAlignment="1">
      <alignment wrapText="1"/>
    </xf>
    <xf numFmtId="0" fontId="10" fillId="18" borderId="0" xfId="0" applyFont="1" applyFill="1" applyAlignment="1">
      <alignment wrapText="1"/>
    </xf>
    <xf numFmtId="0" fontId="2" fillId="188" borderId="0" xfId="0" applyFont="1" applyFill="1"/>
    <xf numFmtId="0" fontId="2" fillId="181" borderId="0" xfId="0" applyFont="1" applyFill="1"/>
    <xf numFmtId="0" fontId="1" fillId="160" borderId="0" xfId="0" applyFont="1" applyFill="1"/>
    <xf numFmtId="0" fontId="1" fillId="158" borderId="0" xfId="0" applyFont="1" applyFill="1"/>
    <xf numFmtId="0" fontId="1" fillId="210" borderId="0" xfId="0" applyFont="1" applyFill="1"/>
    <xf numFmtId="0" fontId="1" fillId="179" borderId="0" xfId="0" applyFont="1" applyFill="1"/>
    <xf numFmtId="0" fontId="1" fillId="170" borderId="0" xfId="0" applyFont="1" applyFill="1"/>
    <xf numFmtId="0" fontId="1" fillId="166" borderId="0" xfId="0" applyFont="1" applyFill="1"/>
    <xf numFmtId="0" fontId="1" fillId="168" borderId="0" xfId="0" applyFont="1" applyFill="1"/>
    <xf numFmtId="0" fontId="2" fillId="154" borderId="0" xfId="0" applyFont="1" applyFill="1"/>
    <xf numFmtId="0" fontId="2" fillId="182" borderId="0" xfId="0" applyFont="1" applyFill="1"/>
    <xf numFmtId="0" fontId="2" fillId="0" borderId="0" xfId="0" applyFont="1" applyFill="1" applyBorder="1"/>
    <xf numFmtId="0" fontId="19" fillId="0" borderId="0" xfId="0" applyFont="1" applyFill="1" applyBorder="1"/>
    <xf numFmtId="0" fontId="10" fillId="0" borderId="0" xfId="0" applyFont="1" applyFill="1" applyBorder="1"/>
    <xf numFmtId="0" fontId="17" fillId="0" borderId="0" xfId="0" applyFont="1" applyFill="1" applyBorder="1"/>
    <xf numFmtId="0" fontId="20" fillId="0" borderId="0" xfId="0" applyFont="1" applyFill="1" applyBorder="1"/>
    <xf numFmtId="0" fontId="16" fillId="0" borderId="0" xfId="0" applyFont="1" applyFill="1" applyBorder="1"/>
    <xf numFmtId="0" fontId="21" fillId="0" borderId="0" xfId="0" applyFont="1" applyFill="1" applyBorder="1"/>
    <xf numFmtId="0" fontId="22" fillId="0" borderId="0" xfId="0" applyFont="1" applyFill="1" applyBorder="1"/>
    <xf numFmtId="0" fontId="23" fillId="0" borderId="0" xfId="0" applyFont="1" applyFill="1" applyBorder="1"/>
    <xf numFmtId="0" fontId="30" fillId="0" borderId="0" xfId="0" applyFont="1" applyFill="1" applyBorder="1"/>
    <xf numFmtId="0" fontId="7" fillId="0" borderId="0" xfId="0" applyFont="1" applyFill="1" applyBorder="1"/>
    <xf numFmtId="0" fontId="12" fillId="0" borderId="0" xfId="0" applyFont="1" applyFill="1" applyBorder="1"/>
    <xf numFmtId="0" fontId="0" fillId="0" borderId="0" xfId="0" applyFill="1" applyBorder="1"/>
    <xf numFmtId="0" fontId="24" fillId="0" borderId="0" xfId="0" applyFont="1" applyFill="1" applyBorder="1"/>
    <xf numFmtId="0" fontId="25" fillId="0" borderId="0" xfId="0" applyFont="1" applyFill="1" applyBorder="1"/>
    <xf numFmtId="0" fontId="31" fillId="0" borderId="0" xfId="0" applyFont="1" applyFill="1" applyBorder="1"/>
    <xf numFmtId="0" fontId="32" fillId="0" borderId="0" xfId="0" applyFont="1" applyFill="1" applyBorder="1"/>
    <xf numFmtId="0" fontId="33" fillId="0" borderId="0" xfId="0" applyFont="1" applyFill="1" applyBorder="1"/>
    <xf numFmtId="0" fontId="34" fillId="0" borderId="0" xfId="0" applyFont="1" applyFill="1" applyBorder="1"/>
    <xf numFmtId="0" fontId="11" fillId="0" borderId="0" xfId="0" applyFont="1" applyFill="1" applyBorder="1"/>
    <xf numFmtId="0" fontId="35" fillId="0" borderId="0" xfId="0" applyFont="1" applyFill="1" applyBorder="1"/>
    <xf numFmtId="0" fontId="26" fillId="0" borderId="0" xfId="0" applyFont="1" applyFill="1" applyBorder="1"/>
    <xf numFmtId="0" fontId="36" fillId="0" borderId="0" xfId="0" applyFont="1" applyFill="1" applyBorder="1"/>
    <xf numFmtId="0" fontId="1" fillId="0" borderId="0" xfId="0" applyFont="1" applyFill="1" applyBorder="1"/>
    <xf numFmtId="0" fontId="37" fillId="0" borderId="0" xfId="0" applyFont="1" applyFill="1" applyBorder="1"/>
    <xf numFmtId="0" fontId="38" fillId="0" borderId="0" xfId="0" applyFont="1" applyFill="1" applyBorder="1"/>
    <xf numFmtId="0" fontId="47" fillId="0" borderId="0" xfId="0" applyFont="1" applyFill="1" applyBorder="1"/>
    <xf numFmtId="0" fontId="46" fillId="0" borderId="0" xfId="0" applyFont="1" applyFill="1" applyBorder="1"/>
    <xf numFmtId="0" fontId="39" fillId="0" borderId="0" xfId="0" applyFont="1" applyFill="1" applyBorder="1"/>
    <xf numFmtId="0" fontId="44" fillId="0" borderId="0" xfId="0" applyFont="1" applyFill="1" applyBorder="1"/>
    <xf numFmtId="0" fontId="15" fillId="0" borderId="0" xfId="0" applyFont="1" applyFill="1" applyBorder="1"/>
    <xf numFmtId="0" fontId="40" fillId="0" borderId="0" xfId="0" applyFont="1" applyFill="1" applyBorder="1"/>
    <xf numFmtId="0" fontId="48" fillId="0" borderId="0" xfId="0" applyFont="1" applyFill="1" applyBorder="1"/>
    <xf numFmtId="0" fontId="27" fillId="0" borderId="0" xfId="0" applyFont="1" applyFill="1" applyBorder="1"/>
    <xf numFmtId="0" fontId="14" fillId="0" borderId="0" xfId="0" applyFont="1" applyFill="1" applyBorder="1"/>
    <xf numFmtId="0" fontId="18" fillId="0" borderId="0" xfId="0" applyFont="1" applyFill="1" applyBorder="1"/>
    <xf numFmtId="0" fontId="45" fillId="0" borderId="0" xfId="0" applyFont="1" applyFill="1" applyBorder="1"/>
    <xf numFmtId="0" fontId="41" fillId="0" borderId="0" xfId="0" applyFont="1" applyFill="1" applyBorder="1"/>
    <xf numFmtId="0" fontId="49" fillId="0" borderId="0" xfId="0" applyFont="1" applyFill="1" applyBorder="1"/>
    <xf numFmtId="0" fontId="28" fillId="0" borderId="0" xfId="0" applyFont="1" applyFill="1" applyBorder="1"/>
    <xf numFmtId="0" fontId="42" fillId="0" borderId="0" xfId="0" applyFont="1" applyFill="1" applyBorder="1"/>
    <xf numFmtId="0" fontId="43" fillId="0" borderId="0" xfId="0" applyFont="1" applyFill="1" applyBorder="1"/>
    <xf numFmtId="0" fontId="6" fillId="0" borderId="0" xfId="0" applyFont="1" applyFill="1" applyBorder="1"/>
    <xf numFmtId="0" fontId="29" fillId="0" borderId="0" xfId="0" applyFont="1" applyFill="1" applyBorder="1"/>
    <xf numFmtId="0" fontId="13" fillId="0" borderId="0" xfId="0" applyFont="1" applyFill="1" applyBorder="1"/>
  </cellXfs>
  <cellStyles count="3">
    <cellStyle name="Hyperlink" xfId="2" builtinId="8"/>
    <cellStyle name="Normal" xfId="0" builtinId="0"/>
    <cellStyle name="Normal 2" xfId="1" xr:uid="{996120AC-2EBC-4285-800E-8F0D42B3B25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352425</xdr:colOff>
      <xdr:row>0</xdr:row>
      <xdr:rowOff>104775</xdr:rowOff>
    </xdr:from>
    <xdr:to>
      <xdr:col>3</xdr:col>
      <xdr:colOff>1571625</xdr:colOff>
      <xdr:row>0</xdr:row>
      <xdr:rowOff>485775</xdr:rowOff>
    </xdr:to>
    <xdr:sp macro="[0]!RebuildrgbNameSheet" textlink="">
      <xdr:nvSpPr>
        <xdr:cNvPr id="4" name="Rectangle: Beveled 3">
          <a:extLst>
            <a:ext uri="{FF2B5EF4-FFF2-40B4-BE49-F238E27FC236}">
              <a16:creationId xmlns:a16="http://schemas.microsoft.com/office/drawing/2014/main" id="{A4C3AA2A-93E5-4549-BF6B-DB737313DE96}"/>
            </a:ext>
          </a:extLst>
        </xdr:cNvPr>
        <xdr:cNvSpPr/>
      </xdr:nvSpPr>
      <xdr:spPr>
        <a:xfrm>
          <a:off x="3486150" y="104775"/>
          <a:ext cx="1219200" cy="38100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Rebuild Sheet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257175</xdr:colOff>
      <xdr:row>0</xdr:row>
      <xdr:rowOff>76200</xdr:rowOff>
    </xdr:from>
    <xdr:to>
      <xdr:col>8</xdr:col>
      <xdr:colOff>409575</xdr:colOff>
      <xdr:row>2</xdr:row>
      <xdr:rowOff>142875</xdr:rowOff>
    </xdr:to>
    <xdr:pic macro="[0]!BuildPallet">
      <xdr:nvPicPr>
        <xdr:cNvPr id="4" name="Graphic 3" descr="Artist male with solid fill">
          <a:extLst>
            <a:ext uri="{FF2B5EF4-FFF2-40B4-BE49-F238E27FC236}">
              <a16:creationId xmlns:a16="http://schemas.microsoft.com/office/drawing/2014/main" id="{C5935253-3F6C-6739-7849-7F838F27FDA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24375" y="76200"/>
          <a:ext cx="914400" cy="9144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938DD-3D78-4A94-A1AE-DD177BB8E267}">
  <sheetPr codeName="Sheet16"/>
  <dimension ref="A1:GR161"/>
  <sheetViews>
    <sheetView tabSelected="1" zoomScale="87" zoomScaleNormal="87" workbookViewId="0">
      <selection activeCell="B27" sqref="B27"/>
    </sheetView>
  </sheetViews>
  <sheetFormatPr defaultColWidth="2.7109375" defaultRowHeight="18" customHeight="1" x14ac:dyDescent="0.2"/>
  <cols>
    <col min="1" max="200" width="2.5703125" style="366" customWidth="1"/>
    <col min="201" max="16384" width="2.7109375" style="366"/>
  </cols>
  <sheetData>
    <row r="1" spans="1:200" ht="13.5" customHeight="1" x14ac:dyDescent="0.2">
      <c r="A1" s="354" t="s">
        <v>242</v>
      </c>
      <c r="B1" s="354" t="s">
        <v>217</v>
      </c>
      <c r="C1" s="355"/>
      <c r="D1" s="356"/>
      <c r="E1" s="357"/>
      <c r="F1" s="357"/>
      <c r="G1" s="358"/>
      <c r="H1" s="359"/>
      <c r="I1" s="359"/>
      <c r="J1" s="359"/>
      <c r="K1" s="357"/>
      <c r="L1" s="359"/>
      <c r="M1" s="355"/>
      <c r="N1" s="358"/>
      <c r="O1" s="358"/>
      <c r="P1" s="360"/>
      <c r="Q1" s="360"/>
      <c r="R1" s="356"/>
      <c r="S1" s="361"/>
      <c r="T1" s="355"/>
      <c r="U1" s="361"/>
      <c r="V1" s="356"/>
      <c r="W1" s="355"/>
      <c r="X1" s="359"/>
      <c r="Y1" s="359"/>
      <c r="Z1" s="359"/>
      <c r="AA1" s="361"/>
      <c r="AB1" s="354"/>
      <c r="AC1" s="354"/>
      <c r="AD1" s="354"/>
      <c r="AE1" s="354"/>
      <c r="AF1" s="357"/>
      <c r="AG1" s="362"/>
      <c r="AH1" s="358"/>
      <c r="AI1" s="358"/>
      <c r="AJ1" s="358"/>
      <c r="AK1" s="358"/>
      <c r="AL1" s="359"/>
      <c r="AM1" s="359"/>
      <c r="AN1" s="357"/>
      <c r="AO1" s="359"/>
      <c r="AP1" s="359"/>
      <c r="AQ1" s="361"/>
      <c r="AR1" s="361"/>
      <c r="AS1" s="362"/>
      <c r="AT1" s="357"/>
      <c r="AU1" s="357"/>
      <c r="AV1" s="355"/>
      <c r="AW1" s="354"/>
      <c r="AX1" s="357"/>
      <c r="AY1" s="359"/>
      <c r="AZ1" s="359"/>
      <c r="BA1" s="359"/>
      <c r="BB1" s="358"/>
      <c r="BC1" s="359"/>
      <c r="BD1" s="359"/>
      <c r="BE1" s="359"/>
      <c r="BF1" s="359"/>
      <c r="BG1" s="362"/>
      <c r="BH1" s="359"/>
      <c r="BI1" s="359"/>
      <c r="BJ1" s="358"/>
      <c r="BK1" s="362"/>
      <c r="BL1" s="362"/>
      <c r="BM1" s="362"/>
      <c r="BN1" s="362"/>
      <c r="BO1" s="355"/>
      <c r="BP1" s="356"/>
      <c r="BQ1" s="360"/>
      <c r="BR1" s="363"/>
      <c r="BS1" s="356"/>
      <c r="BT1" s="364"/>
      <c r="BU1" s="362"/>
      <c r="BV1" s="362"/>
      <c r="BW1" s="362"/>
      <c r="BX1" s="357"/>
      <c r="BY1" s="361"/>
      <c r="BZ1" s="358"/>
      <c r="CA1" s="359"/>
      <c r="CB1" s="359"/>
      <c r="CC1" s="359"/>
      <c r="CD1" s="359"/>
      <c r="CE1" s="362"/>
      <c r="CF1" s="362"/>
      <c r="CG1" s="362"/>
      <c r="CH1" s="362"/>
      <c r="CI1" s="362"/>
      <c r="CJ1" s="362"/>
      <c r="CK1" s="358"/>
      <c r="CL1" s="358"/>
      <c r="CM1" s="355"/>
      <c r="CN1" s="355"/>
      <c r="CO1" s="361"/>
      <c r="CP1" s="361"/>
      <c r="CQ1" s="358"/>
      <c r="CR1" s="359"/>
      <c r="CS1" s="359"/>
      <c r="CT1" s="359"/>
      <c r="CU1" s="365"/>
      <c r="CV1" s="358"/>
      <c r="CW1" s="361"/>
      <c r="CX1" s="361"/>
      <c r="CY1" s="358"/>
      <c r="CZ1" s="359"/>
      <c r="DA1" s="362"/>
      <c r="DB1" s="361"/>
      <c r="DC1" s="362"/>
      <c r="DD1" s="362"/>
      <c r="DE1" s="362"/>
      <c r="DF1" s="362"/>
      <c r="DG1" s="359"/>
      <c r="DH1" s="359"/>
      <c r="DI1" s="359"/>
      <c r="DJ1" s="359"/>
      <c r="DK1" s="359"/>
      <c r="DL1" s="358"/>
      <c r="DM1" s="357"/>
      <c r="DN1" s="359"/>
      <c r="DO1" s="359"/>
      <c r="DP1" s="359"/>
      <c r="DQ1" s="354"/>
      <c r="DR1" s="354"/>
      <c r="DS1" s="357"/>
      <c r="DT1" s="357"/>
      <c r="DU1" s="359"/>
      <c r="DV1" s="357"/>
      <c r="DW1" s="357"/>
      <c r="DX1" s="357"/>
      <c r="DY1" s="359"/>
      <c r="DZ1" s="359"/>
      <c r="EA1" s="359"/>
      <c r="EB1" s="359"/>
      <c r="EC1" s="359"/>
      <c r="ED1" s="359"/>
      <c r="EE1" s="357"/>
      <c r="EF1" s="357"/>
      <c r="EG1" s="362"/>
      <c r="EH1" s="362"/>
      <c r="EI1" s="362"/>
      <c r="EJ1" s="359"/>
      <c r="EK1" s="357"/>
      <c r="EL1" s="357"/>
      <c r="EM1" s="359"/>
      <c r="EN1" s="359"/>
      <c r="EO1" s="359"/>
      <c r="EP1" s="359"/>
      <c r="EQ1" s="359"/>
      <c r="ER1" s="359"/>
      <c r="ES1" s="359"/>
      <c r="ET1" s="362"/>
      <c r="EU1" s="362"/>
      <c r="EV1" s="362"/>
      <c r="EW1" s="362"/>
      <c r="EX1" s="359"/>
      <c r="EY1" s="359"/>
      <c r="EZ1" s="359"/>
      <c r="FA1" s="362"/>
      <c r="FB1" s="362"/>
      <c r="FC1" s="359"/>
      <c r="FD1" s="359"/>
      <c r="FE1" s="359"/>
      <c r="FF1" s="359"/>
      <c r="FG1" s="359"/>
      <c r="FH1" s="359"/>
      <c r="FI1" s="359"/>
      <c r="FJ1" s="361"/>
      <c r="FK1" s="358"/>
      <c r="FL1" s="362"/>
      <c r="FM1" s="361"/>
      <c r="FN1" s="362"/>
      <c r="FO1" s="355"/>
      <c r="FP1" s="361"/>
      <c r="FQ1" s="361"/>
      <c r="FR1" s="358"/>
      <c r="FS1" s="358"/>
      <c r="FT1" s="364"/>
      <c r="FU1" s="359"/>
      <c r="FV1" s="359"/>
      <c r="FW1" s="361"/>
      <c r="FX1" s="362"/>
      <c r="FY1" s="359"/>
      <c r="FZ1" s="359"/>
      <c r="GA1" s="362"/>
      <c r="GB1" s="362"/>
      <c r="GC1" s="361"/>
      <c r="GD1" s="361"/>
      <c r="GE1" s="361"/>
      <c r="GF1" s="361"/>
      <c r="GG1" s="358"/>
      <c r="GH1" s="362"/>
      <c r="GI1" s="362"/>
      <c r="GJ1" s="362"/>
      <c r="GK1" s="362"/>
      <c r="GL1" s="362"/>
      <c r="GM1" s="358"/>
      <c r="GN1" s="355"/>
      <c r="GO1" s="358"/>
      <c r="GP1" s="359"/>
      <c r="GQ1" s="359"/>
      <c r="GR1" s="359"/>
    </row>
    <row r="2" spans="1:200" ht="13.5" customHeight="1" x14ac:dyDescent="0.2">
      <c r="A2" s="359" t="s">
        <v>243</v>
      </c>
      <c r="B2" s="357" t="s">
        <v>233</v>
      </c>
      <c r="C2" s="358"/>
      <c r="D2" s="358"/>
      <c r="E2" s="359"/>
      <c r="F2" s="359"/>
      <c r="G2" s="358"/>
      <c r="H2" s="359"/>
      <c r="I2" s="359"/>
      <c r="J2" s="359"/>
      <c r="K2" s="359"/>
      <c r="L2" s="361"/>
      <c r="M2" s="362"/>
      <c r="N2" s="361"/>
      <c r="O2" s="361"/>
      <c r="P2" s="356"/>
      <c r="Q2" s="356"/>
      <c r="R2" s="364"/>
      <c r="S2" s="360"/>
      <c r="T2" s="355"/>
      <c r="U2" s="356"/>
      <c r="V2" s="356"/>
      <c r="W2" s="360"/>
      <c r="X2" s="360"/>
      <c r="Y2" s="360"/>
      <c r="Z2" s="361"/>
      <c r="AA2" s="361"/>
      <c r="AB2" s="361"/>
      <c r="AC2" s="354"/>
      <c r="AD2" s="359"/>
      <c r="AE2" s="359"/>
      <c r="AF2" s="359"/>
      <c r="AG2" s="357"/>
      <c r="AH2" s="357"/>
      <c r="AI2" s="357"/>
      <c r="AJ2" s="357"/>
      <c r="AK2" s="354"/>
      <c r="AL2" s="357"/>
      <c r="AM2" s="359"/>
      <c r="AN2" s="357"/>
      <c r="AO2" s="359"/>
      <c r="AP2" s="362"/>
      <c r="AQ2" s="362"/>
      <c r="AR2" s="361"/>
      <c r="AS2" s="361"/>
      <c r="AT2" s="361"/>
      <c r="AU2" s="358"/>
      <c r="AV2" s="358"/>
      <c r="AW2" s="355"/>
      <c r="AX2" s="357"/>
      <c r="AY2" s="357"/>
      <c r="AZ2" s="359"/>
      <c r="BA2" s="359"/>
      <c r="BB2" s="359"/>
      <c r="BC2" s="359"/>
      <c r="BD2" s="359"/>
      <c r="BE2" s="359"/>
      <c r="BF2" s="362"/>
      <c r="BG2" s="362"/>
      <c r="BH2" s="362"/>
      <c r="BI2" s="359"/>
      <c r="BJ2" s="358"/>
      <c r="BK2" s="358"/>
      <c r="BL2" s="362"/>
      <c r="BM2" s="355"/>
      <c r="BN2" s="356"/>
      <c r="BO2" s="360"/>
      <c r="BP2" s="360"/>
      <c r="BQ2" s="360"/>
      <c r="BR2" s="356"/>
      <c r="BS2" s="360"/>
      <c r="BT2" s="360"/>
      <c r="BU2" s="360"/>
      <c r="BV2" s="362"/>
      <c r="BW2" s="362"/>
      <c r="BX2" s="362"/>
      <c r="BY2" s="359"/>
      <c r="BZ2" s="362"/>
      <c r="CA2" s="358"/>
      <c r="CB2" s="359"/>
      <c r="CC2" s="359"/>
      <c r="CD2" s="359"/>
      <c r="CE2" s="359"/>
      <c r="CF2" s="362"/>
      <c r="CG2" s="362"/>
      <c r="CH2" s="358"/>
      <c r="CI2" s="362"/>
      <c r="CJ2" s="362"/>
      <c r="CK2" s="362"/>
      <c r="CL2" s="362"/>
      <c r="CM2" s="359"/>
      <c r="CN2" s="358"/>
      <c r="CO2" s="359"/>
      <c r="CP2" s="361"/>
      <c r="CQ2" s="359"/>
      <c r="CR2" s="359"/>
      <c r="CS2" s="359"/>
      <c r="CT2" s="357"/>
      <c r="CU2" s="364"/>
      <c r="CV2" s="364"/>
      <c r="CW2" s="358"/>
      <c r="CX2" s="361"/>
      <c r="CY2" s="359"/>
      <c r="CZ2" s="362"/>
      <c r="DA2" s="361"/>
      <c r="DB2" s="362"/>
      <c r="DC2" s="362"/>
      <c r="DD2" s="362"/>
      <c r="DE2" s="362"/>
      <c r="DF2" s="358"/>
      <c r="DG2" s="359"/>
      <c r="DH2" s="359"/>
      <c r="DI2" s="359"/>
      <c r="DJ2" s="359"/>
      <c r="DK2" s="354"/>
      <c r="DL2" s="354"/>
      <c r="DM2" s="357"/>
      <c r="DN2" s="358"/>
      <c r="DO2" s="359"/>
      <c r="DP2" s="359"/>
      <c r="DQ2" s="359"/>
      <c r="DR2" s="358"/>
      <c r="DS2" s="358"/>
      <c r="DT2" s="362"/>
      <c r="DU2" s="359"/>
      <c r="DV2" s="359"/>
      <c r="DW2" s="359"/>
      <c r="DX2" s="359"/>
      <c r="DY2" s="359"/>
      <c r="DZ2" s="359"/>
      <c r="EA2" s="359"/>
      <c r="EB2" s="359"/>
      <c r="EC2" s="359"/>
      <c r="ED2" s="359"/>
      <c r="EE2" s="359"/>
      <c r="EF2" s="361"/>
      <c r="EG2" s="361"/>
      <c r="EH2" s="362"/>
      <c r="EI2" s="359"/>
      <c r="EJ2" s="357"/>
      <c r="EK2" s="359"/>
      <c r="EL2" s="359"/>
      <c r="EM2" s="359"/>
      <c r="EN2" s="359"/>
      <c r="EO2" s="358"/>
      <c r="EP2" s="358"/>
      <c r="EQ2" s="354"/>
      <c r="ER2" s="357"/>
      <c r="ES2" s="359"/>
      <c r="ET2" s="362"/>
      <c r="EU2" s="362"/>
      <c r="EV2" s="362"/>
      <c r="EW2" s="359"/>
      <c r="EX2" s="359"/>
      <c r="EY2" s="359"/>
      <c r="EZ2" s="362"/>
      <c r="FA2" s="362"/>
      <c r="FB2" s="358"/>
      <c r="FC2" s="358"/>
      <c r="FD2" s="359"/>
      <c r="FE2" s="359"/>
      <c r="FF2" s="359"/>
      <c r="FG2" s="358"/>
      <c r="FH2" s="359"/>
      <c r="FI2" s="359"/>
      <c r="FJ2" s="362"/>
      <c r="FK2" s="362"/>
      <c r="FL2" s="358"/>
      <c r="FM2" s="358"/>
      <c r="FN2" s="362"/>
      <c r="FO2" s="361"/>
      <c r="FP2" s="361"/>
      <c r="FQ2" s="359"/>
      <c r="FR2" s="359"/>
      <c r="FS2" s="358"/>
      <c r="FT2" s="359"/>
      <c r="FU2" s="359"/>
      <c r="FV2" s="358"/>
      <c r="FW2" s="362"/>
      <c r="FX2" s="362"/>
      <c r="FY2" s="361"/>
      <c r="FZ2" s="359"/>
      <c r="GA2" s="362"/>
      <c r="GB2" s="362"/>
      <c r="GC2" s="358"/>
      <c r="GD2" s="362"/>
      <c r="GE2" s="362"/>
      <c r="GF2" s="361"/>
      <c r="GG2" s="361"/>
      <c r="GH2" s="361"/>
      <c r="GI2" s="361"/>
      <c r="GJ2" s="361"/>
      <c r="GK2" s="361"/>
      <c r="GL2" s="362"/>
      <c r="GM2" s="362"/>
      <c r="GN2" s="362"/>
      <c r="GO2" s="358"/>
      <c r="GP2" s="359"/>
      <c r="GQ2" s="359"/>
      <c r="GR2" s="358"/>
    </row>
    <row r="3" spans="1:200" ht="13.5" customHeight="1" x14ac:dyDescent="0.2">
      <c r="A3" s="359" t="s">
        <v>249</v>
      </c>
      <c r="B3" s="359" t="s">
        <v>227</v>
      </c>
      <c r="C3" s="359"/>
      <c r="D3" s="359"/>
      <c r="E3" s="359"/>
      <c r="F3" s="359"/>
      <c r="G3" s="359"/>
      <c r="H3" s="359"/>
      <c r="I3" s="359"/>
      <c r="J3" s="359"/>
      <c r="K3" s="358"/>
      <c r="L3" s="362"/>
      <c r="M3" s="362"/>
      <c r="N3" s="361"/>
      <c r="O3" s="355"/>
      <c r="P3" s="360"/>
      <c r="Q3" s="356"/>
      <c r="R3" s="356"/>
      <c r="S3" s="360"/>
      <c r="T3" s="364"/>
      <c r="U3" s="356"/>
      <c r="V3" s="356"/>
      <c r="W3" s="356"/>
      <c r="X3" s="356"/>
      <c r="Y3" s="356"/>
      <c r="Z3" s="360"/>
      <c r="AA3" s="361"/>
      <c r="AB3" s="362"/>
      <c r="AC3" s="355"/>
      <c r="AD3" s="359"/>
      <c r="AE3" s="359"/>
      <c r="AF3" s="359"/>
      <c r="AG3" s="357"/>
      <c r="AH3" s="357"/>
      <c r="AI3" s="357"/>
      <c r="AJ3" s="359"/>
      <c r="AK3" s="359"/>
      <c r="AL3" s="357"/>
      <c r="AM3" s="359"/>
      <c r="AN3" s="359"/>
      <c r="AO3" s="359"/>
      <c r="AP3" s="362"/>
      <c r="AQ3" s="361"/>
      <c r="AR3" s="361"/>
      <c r="AS3" s="360"/>
      <c r="AT3" s="360"/>
      <c r="AU3" s="360"/>
      <c r="AV3" s="358"/>
      <c r="AW3" s="361"/>
      <c r="AX3" s="359"/>
      <c r="AY3" s="357"/>
      <c r="AZ3" s="359"/>
      <c r="BA3" s="359"/>
      <c r="BB3" s="359"/>
      <c r="BC3" s="359"/>
      <c r="BD3" s="359"/>
      <c r="BE3" s="358"/>
      <c r="BF3" s="362"/>
      <c r="BG3" s="362"/>
      <c r="BH3" s="362"/>
      <c r="BI3" s="362"/>
      <c r="BJ3" s="362"/>
      <c r="BK3" s="362"/>
      <c r="BL3" s="360"/>
      <c r="BM3" s="356"/>
      <c r="BN3" s="360"/>
      <c r="BO3" s="360"/>
      <c r="BP3" s="356"/>
      <c r="BQ3" s="356"/>
      <c r="BR3" s="360"/>
      <c r="BS3" s="356"/>
      <c r="BT3" s="356"/>
      <c r="BU3" s="360"/>
      <c r="BV3" s="360"/>
      <c r="BW3" s="360"/>
      <c r="BX3" s="362"/>
      <c r="BY3" s="359"/>
      <c r="BZ3" s="359"/>
      <c r="CA3" s="358"/>
      <c r="CB3" s="358"/>
      <c r="CC3" s="359"/>
      <c r="CD3" s="358"/>
      <c r="CE3" s="362"/>
      <c r="CF3" s="362"/>
      <c r="CG3" s="358"/>
      <c r="CH3" s="362"/>
      <c r="CI3" s="362"/>
      <c r="CJ3" s="362"/>
      <c r="CK3" s="362"/>
      <c r="CL3" s="362"/>
      <c r="CM3" s="358"/>
      <c r="CN3" s="355"/>
      <c r="CO3" s="364"/>
      <c r="CP3" s="355"/>
      <c r="CQ3" s="358"/>
      <c r="CR3" s="358"/>
      <c r="CS3" s="364"/>
      <c r="CT3" s="364"/>
      <c r="CU3" s="364"/>
      <c r="CV3" s="355"/>
      <c r="CW3" s="362"/>
      <c r="CX3" s="361"/>
      <c r="CY3" s="361"/>
      <c r="CZ3" s="359"/>
      <c r="DA3" s="359"/>
      <c r="DB3" s="359"/>
      <c r="DC3" s="359"/>
      <c r="DD3" s="359"/>
      <c r="DE3" s="358"/>
      <c r="DF3" s="362"/>
      <c r="DG3" s="362"/>
      <c r="DH3" s="362"/>
      <c r="DI3" s="359"/>
      <c r="DJ3" s="357"/>
      <c r="DK3" s="359"/>
      <c r="DL3" s="358"/>
      <c r="DM3" s="359"/>
      <c r="DN3" s="359"/>
      <c r="DO3" s="359"/>
      <c r="DP3" s="358"/>
      <c r="DQ3" s="359"/>
      <c r="DR3" s="359"/>
      <c r="DS3" s="359"/>
      <c r="DT3" s="359"/>
      <c r="DU3" s="359"/>
      <c r="DV3" s="359"/>
      <c r="DW3" s="359"/>
      <c r="DX3" s="359"/>
      <c r="DY3" s="359"/>
      <c r="DZ3" s="359"/>
      <c r="EA3" s="359"/>
      <c r="EB3" s="359"/>
      <c r="EC3" s="359"/>
      <c r="ED3" s="361"/>
      <c r="EE3" s="361"/>
      <c r="EF3" s="362"/>
      <c r="EG3" s="362"/>
      <c r="EH3" s="359"/>
      <c r="EI3" s="359"/>
      <c r="EJ3" s="359"/>
      <c r="EK3" s="359"/>
      <c r="EL3" s="359"/>
      <c r="EM3" s="359"/>
      <c r="EN3" s="362"/>
      <c r="EO3" s="358"/>
      <c r="EP3" s="354"/>
      <c r="EQ3" s="354"/>
      <c r="ER3" s="357"/>
      <c r="ES3" s="358"/>
      <c r="ET3" s="362"/>
      <c r="EU3" s="362"/>
      <c r="EV3" s="358"/>
      <c r="EW3" s="359"/>
      <c r="EX3" s="359"/>
      <c r="EY3" s="362"/>
      <c r="EZ3" s="362"/>
      <c r="FA3" s="362"/>
      <c r="FB3" s="358"/>
      <c r="FC3" s="359"/>
      <c r="FD3" s="357"/>
      <c r="FE3" s="359"/>
      <c r="FF3" s="358"/>
      <c r="FG3" s="357"/>
      <c r="FH3" s="359"/>
      <c r="FI3" s="362"/>
      <c r="FJ3" s="362"/>
      <c r="FK3" s="358"/>
      <c r="FL3" s="358"/>
      <c r="FM3" s="358"/>
      <c r="FN3" s="355"/>
      <c r="FO3" s="361"/>
      <c r="FP3" s="357"/>
      <c r="FQ3" s="359"/>
      <c r="FR3" s="362"/>
      <c r="FS3" s="355"/>
      <c r="FT3" s="358"/>
      <c r="FU3" s="362"/>
      <c r="FV3" s="362"/>
      <c r="FW3" s="361"/>
      <c r="FX3" s="361"/>
      <c r="FY3" s="361"/>
      <c r="FZ3" s="359"/>
      <c r="GA3" s="359"/>
      <c r="GB3" s="361"/>
      <c r="GC3" s="361"/>
      <c r="GD3" s="361"/>
      <c r="GE3" s="362"/>
      <c r="GF3" s="362"/>
      <c r="GG3" s="362"/>
      <c r="GH3" s="362"/>
      <c r="GI3" s="362"/>
      <c r="GJ3" s="362"/>
      <c r="GK3" s="362"/>
      <c r="GL3" s="358"/>
      <c r="GM3" s="358"/>
      <c r="GN3" s="359"/>
      <c r="GO3" s="359"/>
      <c r="GP3" s="359"/>
      <c r="GQ3" s="359"/>
      <c r="GR3" s="358"/>
    </row>
    <row r="4" spans="1:200" ht="13.5" customHeight="1" x14ac:dyDescent="0.2">
      <c r="A4" s="359" t="s">
        <v>241</v>
      </c>
      <c r="B4" s="359" t="s">
        <v>218</v>
      </c>
      <c r="C4" s="359"/>
      <c r="D4" s="359"/>
      <c r="E4" s="359"/>
      <c r="F4" s="359"/>
      <c r="G4" s="358"/>
      <c r="H4" s="358"/>
      <c r="I4" s="359"/>
      <c r="J4" s="359"/>
      <c r="K4" s="362"/>
      <c r="L4" s="361"/>
      <c r="M4" s="361"/>
      <c r="N4" s="361"/>
      <c r="O4" s="356"/>
      <c r="P4" s="356"/>
      <c r="Q4" s="363"/>
      <c r="R4" s="363"/>
      <c r="S4" s="363"/>
      <c r="T4" s="363"/>
      <c r="U4" s="363"/>
      <c r="V4" s="363"/>
      <c r="W4" s="356"/>
      <c r="X4" s="356"/>
      <c r="Y4" s="356"/>
      <c r="Z4" s="361"/>
      <c r="AA4" s="361"/>
      <c r="AB4" s="362"/>
      <c r="AC4" s="362"/>
      <c r="AD4" s="359"/>
      <c r="AE4" s="359"/>
      <c r="AF4" s="357"/>
      <c r="AG4" s="354"/>
      <c r="AH4" s="354"/>
      <c r="AI4" s="354"/>
      <c r="AJ4" s="354"/>
      <c r="AK4" s="357"/>
      <c r="AL4" s="357"/>
      <c r="AM4" s="359"/>
      <c r="AN4" s="359"/>
      <c r="AO4" s="361"/>
      <c r="AP4" s="362"/>
      <c r="AQ4" s="361"/>
      <c r="AR4" s="355"/>
      <c r="AS4" s="355"/>
      <c r="AT4" s="363"/>
      <c r="AU4" s="356"/>
      <c r="AV4" s="361"/>
      <c r="AW4" s="362"/>
      <c r="AX4" s="355"/>
      <c r="AY4" s="354"/>
      <c r="AZ4" s="354"/>
      <c r="BA4" s="354"/>
      <c r="BB4" s="357"/>
      <c r="BC4" s="357"/>
      <c r="BD4" s="357"/>
      <c r="BE4" s="359"/>
      <c r="BF4" s="359"/>
      <c r="BG4" s="362"/>
      <c r="BH4" s="362"/>
      <c r="BI4" s="362"/>
      <c r="BJ4" s="362"/>
      <c r="BK4" s="362"/>
      <c r="BL4" s="356"/>
      <c r="BM4" s="360"/>
      <c r="BN4" s="367"/>
      <c r="BO4" s="360"/>
      <c r="BP4" s="360"/>
      <c r="BQ4" s="361"/>
      <c r="BR4" s="361"/>
      <c r="BS4" s="360"/>
      <c r="BT4" s="360"/>
      <c r="BU4" s="360"/>
      <c r="BV4" s="360"/>
      <c r="BW4" s="360"/>
      <c r="BX4" s="361"/>
      <c r="BY4" s="361"/>
      <c r="BZ4" s="361"/>
      <c r="CA4" s="359"/>
      <c r="CB4" s="359"/>
      <c r="CC4" s="359"/>
      <c r="CD4" s="359"/>
      <c r="CE4" s="358"/>
      <c r="CF4" s="359"/>
      <c r="CG4" s="357"/>
      <c r="CH4" s="357"/>
      <c r="CI4" s="362"/>
      <c r="CJ4" s="362"/>
      <c r="CK4" s="359"/>
      <c r="CL4" s="354"/>
      <c r="CM4" s="357"/>
      <c r="CN4" s="355"/>
      <c r="CO4" s="355"/>
      <c r="CP4" s="358"/>
      <c r="CQ4" s="358"/>
      <c r="CR4" s="361"/>
      <c r="CS4" s="362"/>
      <c r="CT4" s="359"/>
      <c r="CU4" s="358"/>
      <c r="CV4" s="358"/>
      <c r="CW4" s="362"/>
      <c r="CX4" s="362"/>
      <c r="CY4" s="359"/>
      <c r="CZ4" s="358"/>
      <c r="DA4" s="359"/>
      <c r="DB4" s="354"/>
      <c r="DC4" s="359"/>
      <c r="DD4" s="359"/>
      <c r="DE4" s="359"/>
      <c r="DF4" s="359"/>
      <c r="DG4" s="359"/>
      <c r="DH4" s="362"/>
      <c r="DI4" s="358"/>
      <c r="DJ4" s="358"/>
      <c r="DK4" s="358"/>
      <c r="DL4" s="359"/>
      <c r="DM4" s="359"/>
      <c r="DN4" s="362"/>
      <c r="DO4" s="362"/>
      <c r="DP4" s="359"/>
      <c r="DQ4" s="357"/>
      <c r="DR4" s="354"/>
      <c r="DS4" s="359"/>
      <c r="DT4" s="358"/>
      <c r="DU4" s="358"/>
      <c r="DV4" s="358"/>
      <c r="DW4" s="358"/>
      <c r="DX4" s="359"/>
      <c r="DY4" s="359"/>
      <c r="DZ4" s="358"/>
      <c r="EA4" s="358"/>
      <c r="EB4" s="359"/>
      <c r="EC4" s="361"/>
      <c r="ED4" s="362"/>
      <c r="EE4" s="362"/>
      <c r="EF4" s="358"/>
      <c r="EG4" s="359"/>
      <c r="EH4" s="359"/>
      <c r="EI4" s="359"/>
      <c r="EJ4" s="359"/>
      <c r="EK4" s="359"/>
      <c r="EL4" s="362"/>
      <c r="EM4" s="362"/>
      <c r="EN4" s="359"/>
      <c r="EO4" s="357"/>
      <c r="EP4" s="357"/>
      <c r="EQ4" s="357"/>
      <c r="ER4" s="357"/>
      <c r="ES4" s="355"/>
      <c r="ET4" s="362"/>
      <c r="EU4" s="362"/>
      <c r="EV4" s="359"/>
      <c r="EW4" s="358"/>
      <c r="EX4" s="362"/>
      <c r="EY4" s="362"/>
      <c r="EZ4" s="362"/>
      <c r="FA4" s="359"/>
      <c r="FB4" s="357"/>
      <c r="FC4" s="357"/>
      <c r="FD4" s="358"/>
      <c r="FE4" s="362"/>
      <c r="FF4" s="359"/>
      <c r="FG4" s="359"/>
      <c r="FH4" s="362"/>
      <c r="FI4" s="361"/>
      <c r="FJ4" s="359"/>
      <c r="FK4" s="359"/>
      <c r="FL4" s="358"/>
      <c r="FM4" s="359"/>
      <c r="FN4" s="359"/>
      <c r="FO4" s="359"/>
      <c r="FP4" s="359"/>
      <c r="FQ4" s="361"/>
      <c r="FR4" s="359"/>
      <c r="FS4" s="359"/>
      <c r="FT4" s="359"/>
      <c r="FU4" s="362"/>
      <c r="FV4" s="361"/>
      <c r="FW4" s="359"/>
      <c r="FX4" s="359"/>
      <c r="FY4" s="359"/>
      <c r="FZ4" s="362"/>
      <c r="GA4" s="362"/>
      <c r="GB4" s="361"/>
      <c r="GC4" s="361"/>
      <c r="GD4" s="361"/>
      <c r="GE4" s="362"/>
      <c r="GF4" s="358"/>
      <c r="GG4" s="359"/>
      <c r="GH4" s="359"/>
      <c r="GI4" s="359"/>
      <c r="GJ4" s="359"/>
      <c r="GK4" s="362"/>
      <c r="GL4" s="358"/>
      <c r="GM4" s="359"/>
      <c r="GN4" s="358"/>
      <c r="GO4" s="358"/>
      <c r="GP4" s="362"/>
      <c r="GQ4" s="358"/>
      <c r="GR4" s="361"/>
    </row>
    <row r="5" spans="1:200" ht="13.5" customHeight="1" x14ac:dyDescent="0.2">
      <c r="A5" s="359" t="s">
        <v>257</v>
      </c>
      <c r="B5" s="359" t="s">
        <v>228</v>
      </c>
      <c r="C5" s="359"/>
      <c r="D5" s="359"/>
      <c r="E5" s="357"/>
      <c r="F5" s="359"/>
      <c r="G5" s="359"/>
      <c r="H5" s="359"/>
      <c r="I5" s="359"/>
      <c r="J5" s="359"/>
      <c r="K5" s="361"/>
      <c r="L5" s="361"/>
      <c r="M5" s="355"/>
      <c r="N5" s="361"/>
      <c r="O5" s="356"/>
      <c r="P5" s="363"/>
      <c r="Q5" s="363"/>
      <c r="R5" s="363"/>
      <c r="S5" s="368"/>
      <c r="T5" s="368"/>
      <c r="U5" s="368"/>
      <c r="V5" s="363"/>
      <c r="W5" s="363"/>
      <c r="X5" s="363"/>
      <c r="Y5" s="360"/>
      <c r="Z5" s="361"/>
      <c r="AA5" s="361"/>
      <c r="AB5" s="361"/>
      <c r="AC5" s="361"/>
      <c r="AD5" s="359"/>
      <c r="AE5" s="359"/>
      <c r="AF5" s="359"/>
      <c r="AG5" s="354"/>
      <c r="AH5" s="354"/>
      <c r="AI5" s="359"/>
      <c r="AJ5" s="359"/>
      <c r="AK5" s="359"/>
      <c r="AL5" s="359"/>
      <c r="AM5" s="359"/>
      <c r="AN5" s="359"/>
      <c r="AO5" s="362"/>
      <c r="AP5" s="362"/>
      <c r="AQ5" s="361"/>
      <c r="AR5" s="356"/>
      <c r="AS5" s="363"/>
      <c r="AT5" s="363"/>
      <c r="AU5" s="363"/>
      <c r="AV5" s="360"/>
      <c r="AW5" s="362"/>
      <c r="AX5" s="362"/>
      <c r="AY5" s="359"/>
      <c r="AZ5" s="359"/>
      <c r="BA5" s="354"/>
      <c r="BB5" s="354"/>
      <c r="BC5" s="357"/>
      <c r="BD5" s="357"/>
      <c r="BE5" s="357"/>
      <c r="BF5" s="359"/>
      <c r="BG5" s="362"/>
      <c r="BH5" s="362"/>
      <c r="BI5" s="359"/>
      <c r="BJ5" s="359"/>
      <c r="BK5" s="355"/>
      <c r="BL5" s="360"/>
      <c r="BM5" s="356"/>
      <c r="BN5" s="356"/>
      <c r="BO5" s="363"/>
      <c r="BP5" s="363"/>
      <c r="BQ5" s="364"/>
      <c r="BR5" s="356"/>
      <c r="BS5" s="356"/>
      <c r="BT5" s="360"/>
      <c r="BU5" s="360"/>
      <c r="BV5" s="361"/>
      <c r="BW5" s="361"/>
      <c r="BX5" s="361"/>
      <c r="BY5" s="361"/>
      <c r="BZ5" s="361"/>
      <c r="CA5" s="361"/>
      <c r="CB5" s="359"/>
      <c r="CC5" s="357"/>
      <c r="CD5" s="354"/>
      <c r="CE5" s="359"/>
      <c r="CF5" s="359"/>
      <c r="CG5" s="359"/>
      <c r="CH5" s="359"/>
      <c r="CI5" s="359"/>
      <c r="CJ5" s="355"/>
      <c r="CK5" s="355"/>
      <c r="CL5" s="359"/>
      <c r="CM5" s="358"/>
      <c r="CN5" s="361"/>
      <c r="CO5" s="355"/>
      <c r="CP5" s="361"/>
      <c r="CQ5" s="361"/>
      <c r="CR5" s="361"/>
      <c r="CS5" s="358"/>
      <c r="CT5" s="359"/>
      <c r="CU5" s="362"/>
      <c r="CV5" s="362"/>
      <c r="CW5" s="362"/>
      <c r="CX5" s="362"/>
      <c r="CY5" s="362"/>
      <c r="CZ5" s="362"/>
      <c r="DA5" s="357"/>
      <c r="DB5" s="359"/>
      <c r="DC5" s="358"/>
      <c r="DD5" s="359"/>
      <c r="DE5" s="354"/>
      <c r="DF5" s="359"/>
      <c r="DG5" s="359"/>
      <c r="DH5" s="362"/>
      <c r="DI5" s="362"/>
      <c r="DJ5" s="359"/>
      <c r="DK5" s="359"/>
      <c r="DL5" s="359"/>
      <c r="DM5" s="358"/>
      <c r="DN5" s="358"/>
      <c r="DO5" s="362"/>
      <c r="DP5" s="362"/>
      <c r="DQ5" s="362"/>
      <c r="DR5" s="358"/>
      <c r="DS5" s="359"/>
      <c r="DT5" s="359"/>
      <c r="DU5" s="359"/>
      <c r="DV5" s="358"/>
      <c r="DW5" s="358"/>
      <c r="DX5" s="359"/>
      <c r="DY5" s="359"/>
      <c r="DZ5" s="359"/>
      <c r="EA5" s="362"/>
      <c r="EB5" s="362"/>
      <c r="EC5" s="362"/>
      <c r="ED5" s="362"/>
      <c r="EE5" s="358"/>
      <c r="EF5" s="358"/>
      <c r="EG5" s="359"/>
      <c r="EH5" s="359"/>
      <c r="EI5" s="358"/>
      <c r="EJ5" s="362"/>
      <c r="EK5" s="362"/>
      <c r="EL5" s="359"/>
      <c r="EM5" s="359"/>
      <c r="EN5" s="359"/>
      <c r="EO5" s="359"/>
      <c r="EP5" s="359"/>
      <c r="EQ5" s="359"/>
      <c r="ER5" s="362"/>
      <c r="ES5" s="362"/>
      <c r="ET5" s="362"/>
      <c r="EU5" s="358"/>
      <c r="EV5" s="358"/>
      <c r="EW5" s="358"/>
      <c r="EX5" s="362"/>
      <c r="EY5" s="362"/>
      <c r="EZ5" s="359"/>
      <c r="FA5" s="358"/>
      <c r="FB5" s="358"/>
      <c r="FC5" s="362"/>
      <c r="FD5" s="362"/>
      <c r="FE5" s="358"/>
      <c r="FF5" s="359"/>
      <c r="FG5" s="362"/>
      <c r="FH5" s="361"/>
      <c r="FI5" s="359"/>
      <c r="FJ5" s="358"/>
      <c r="FK5" s="359"/>
      <c r="FL5" s="359"/>
      <c r="FM5" s="355"/>
      <c r="FN5" s="359"/>
      <c r="FO5" s="362"/>
      <c r="FP5" s="362"/>
      <c r="FQ5" s="359"/>
      <c r="FR5" s="359"/>
      <c r="FS5" s="359"/>
      <c r="FT5" s="359"/>
      <c r="FU5" s="357"/>
      <c r="FV5" s="359"/>
      <c r="FW5" s="359"/>
      <c r="FX5" s="359"/>
      <c r="FY5" s="359"/>
      <c r="FZ5" s="359"/>
      <c r="GA5" s="359"/>
      <c r="GB5" s="362"/>
      <c r="GC5" s="362"/>
      <c r="GD5" s="361"/>
      <c r="GE5" s="359"/>
      <c r="GF5" s="358"/>
      <c r="GG5" s="361"/>
      <c r="GH5" s="355"/>
      <c r="GI5" s="360"/>
      <c r="GJ5" s="361"/>
      <c r="GK5" s="361"/>
      <c r="GL5" s="361"/>
      <c r="GM5" s="362"/>
      <c r="GN5" s="362"/>
      <c r="GO5" s="362"/>
      <c r="GP5" s="362"/>
      <c r="GQ5" s="362"/>
      <c r="GR5" s="358"/>
    </row>
    <row r="6" spans="1:200" ht="13.5" customHeight="1" x14ac:dyDescent="0.2">
      <c r="A6" s="362" t="s">
        <v>248</v>
      </c>
      <c r="B6" s="358" t="s">
        <v>224</v>
      </c>
      <c r="C6" s="359"/>
      <c r="D6" s="359"/>
      <c r="E6" s="359"/>
      <c r="F6" s="358"/>
      <c r="G6" s="358"/>
      <c r="H6" s="358"/>
      <c r="I6" s="362"/>
      <c r="J6" s="359"/>
      <c r="K6" s="361"/>
      <c r="L6" s="361"/>
      <c r="M6" s="355"/>
      <c r="N6" s="356"/>
      <c r="O6" s="356"/>
      <c r="P6" s="363"/>
      <c r="Q6" s="368"/>
      <c r="R6" s="363"/>
      <c r="S6" s="363"/>
      <c r="T6" s="363"/>
      <c r="U6" s="368"/>
      <c r="V6" s="368"/>
      <c r="W6" s="363"/>
      <c r="X6" s="364"/>
      <c r="Y6" s="360"/>
      <c r="Z6" s="355"/>
      <c r="AA6" s="360"/>
      <c r="AB6" s="361"/>
      <c r="AC6" s="361"/>
      <c r="AD6" s="359"/>
      <c r="AE6" s="358"/>
      <c r="AF6" s="358"/>
      <c r="AG6" s="358"/>
      <c r="AH6" s="358"/>
      <c r="AI6" s="358"/>
      <c r="AJ6" s="358"/>
      <c r="AK6" s="358"/>
      <c r="AL6" s="359"/>
      <c r="AM6" s="358"/>
      <c r="AN6" s="362"/>
      <c r="AO6" s="362"/>
      <c r="AP6" s="361"/>
      <c r="AQ6" s="361"/>
      <c r="AR6" s="363"/>
      <c r="AS6" s="369"/>
      <c r="AT6" s="363"/>
      <c r="AU6" s="369"/>
      <c r="AV6" s="361"/>
      <c r="AW6" s="361"/>
      <c r="AX6" s="361"/>
      <c r="AY6" s="359"/>
      <c r="AZ6" s="359"/>
      <c r="BA6" s="359"/>
      <c r="BB6" s="359"/>
      <c r="BC6" s="359"/>
      <c r="BD6" s="359"/>
      <c r="BE6" s="357"/>
      <c r="BF6" s="359"/>
      <c r="BG6" s="359"/>
      <c r="BH6" s="362"/>
      <c r="BI6" s="362"/>
      <c r="BJ6" s="362"/>
      <c r="BK6" s="362"/>
      <c r="BL6" s="355"/>
      <c r="BM6" s="360"/>
      <c r="BN6" s="360"/>
      <c r="BO6" s="360"/>
      <c r="BP6" s="363"/>
      <c r="BQ6" s="368"/>
      <c r="BR6" s="363"/>
      <c r="BS6" s="363"/>
      <c r="BT6" s="356"/>
      <c r="BU6" s="356"/>
      <c r="BV6" s="360"/>
      <c r="BW6" s="360"/>
      <c r="BX6" s="355"/>
      <c r="BY6" s="361"/>
      <c r="BZ6" s="358"/>
      <c r="CA6" s="359"/>
      <c r="CB6" s="359"/>
      <c r="CC6" s="361"/>
      <c r="CD6" s="355"/>
      <c r="CE6" s="357"/>
      <c r="CF6" s="355"/>
      <c r="CG6" s="362"/>
      <c r="CH6" s="359"/>
      <c r="CI6" s="362"/>
      <c r="CJ6" s="362"/>
      <c r="CK6" s="359"/>
      <c r="CL6" s="359"/>
      <c r="CM6" s="361"/>
      <c r="CN6" s="359"/>
      <c r="CO6" s="359"/>
      <c r="CP6" s="357"/>
      <c r="CQ6" s="355"/>
      <c r="CR6" s="358"/>
      <c r="CS6" s="358"/>
      <c r="CT6" s="362"/>
      <c r="CU6" s="358"/>
      <c r="CV6" s="362"/>
      <c r="CW6" s="362"/>
      <c r="CX6" s="362"/>
      <c r="CY6" s="362"/>
      <c r="CZ6" s="362"/>
      <c r="DA6" s="359"/>
      <c r="DB6" s="358"/>
      <c r="DC6" s="359"/>
      <c r="DD6" s="362"/>
      <c r="DE6" s="358"/>
      <c r="DF6" s="361"/>
      <c r="DG6" s="358"/>
      <c r="DH6" s="359"/>
      <c r="DI6" s="359"/>
      <c r="DJ6" s="359"/>
      <c r="DK6" s="359"/>
      <c r="DL6" s="359"/>
      <c r="DM6" s="362"/>
      <c r="DN6" s="362"/>
      <c r="DO6" s="362"/>
      <c r="DP6" s="359"/>
      <c r="DQ6" s="358"/>
      <c r="DR6" s="359"/>
      <c r="DS6" s="370"/>
      <c r="DT6" s="370"/>
      <c r="DU6" s="355"/>
      <c r="DV6" s="361"/>
      <c r="DW6" s="361"/>
      <c r="DX6" s="356"/>
      <c r="DY6" s="361"/>
      <c r="DZ6" s="359"/>
      <c r="EA6" s="359"/>
      <c r="EB6" s="359"/>
      <c r="EC6" s="362"/>
      <c r="ED6" s="362"/>
      <c r="EE6" s="362"/>
      <c r="EF6" s="358"/>
      <c r="EG6" s="362"/>
      <c r="EH6" s="362"/>
      <c r="EI6" s="358"/>
      <c r="EJ6" s="359"/>
      <c r="EK6" s="359"/>
      <c r="EL6" s="362"/>
      <c r="EM6" s="358"/>
      <c r="EN6" s="362"/>
      <c r="EO6" s="362"/>
      <c r="EP6" s="359"/>
      <c r="EQ6" s="359"/>
      <c r="ER6" s="362"/>
      <c r="ES6" s="362"/>
      <c r="ET6" s="358"/>
      <c r="EU6" s="358"/>
      <c r="EV6" s="359"/>
      <c r="EW6" s="359"/>
      <c r="EX6" s="358"/>
      <c r="EY6" s="359"/>
      <c r="EZ6" s="358"/>
      <c r="FA6" s="358"/>
      <c r="FB6" s="362"/>
      <c r="FC6" s="362"/>
      <c r="FD6" s="362"/>
      <c r="FE6" s="359"/>
      <c r="FF6" s="355"/>
      <c r="FG6" s="355"/>
      <c r="FH6" s="357"/>
      <c r="FI6" s="358"/>
      <c r="FJ6" s="359"/>
      <c r="FK6" s="359"/>
      <c r="FL6" s="361"/>
      <c r="FM6" s="362"/>
      <c r="FN6" s="362"/>
      <c r="FO6" s="359"/>
      <c r="FP6" s="359"/>
      <c r="FQ6" s="359"/>
      <c r="FR6" s="359"/>
      <c r="FS6" s="357"/>
      <c r="FT6" s="359"/>
      <c r="FU6" s="361"/>
      <c r="FV6" s="361"/>
      <c r="FW6" s="362"/>
      <c r="FX6" s="361"/>
      <c r="FY6" s="360"/>
      <c r="FZ6" s="361"/>
      <c r="GA6" s="361"/>
      <c r="GB6" s="361"/>
      <c r="GC6" s="361"/>
      <c r="GD6" s="360"/>
      <c r="GE6" s="360"/>
      <c r="GF6" s="360"/>
      <c r="GG6" s="355"/>
      <c r="GH6" s="355"/>
      <c r="GI6" s="356"/>
      <c r="GJ6" s="355"/>
      <c r="GK6" s="361"/>
      <c r="GL6" s="361"/>
      <c r="GM6" s="362"/>
      <c r="GN6" s="362"/>
      <c r="GO6" s="362"/>
      <c r="GP6" s="362"/>
      <c r="GQ6" s="362"/>
      <c r="GR6" s="362"/>
    </row>
    <row r="7" spans="1:200" ht="13.5" customHeight="1" x14ac:dyDescent="0.2">
      <c r="A7" s="359" t="s">
        <v>246</v>
      </c>
      <c r="B7" s="359" t="s">
        <v>221</v>
      </c>
      <c r="C7" s="359"/>
      <c r="D7" s="354"/>
      <c r="E7" s="359"/>
      <c r="F7" s="359"/>
      <c r="G7" s="359"/>
      <c r="H7" s="359"/>
      <c r="I7" s="362"/>
      <c r="J7" s="358"/>
      <c r="K7" s="362"/>
      <c r="L7" s="361"/>
      <c r="M7" s="361"/>
      <c r="N7" s="361"/>
      <c r="O7" s="356"/>
      <c r="P7" s="363"/>
      <c r="Q7" s="368"/>
      <c r="R7" s="363"/>
      <c r="S7" s="363"/>
      <c r="T7" s="363"/>
      <c r="U7" s="363"/>
      <c r="V7" s="368"/>
      <c r="W7" s="363"/>
      <c r="X7" s="360"/>
      <c r="Y7" s="356"/>
      <c r="Z7" s="356"/>
      <c r="AA7" s="355"/>
      <c r="AB7" s="361"/>
      <c r="AC7" s="361"/>
      <c r="AD7" s="359"/>
      <c r="AE7" s="359"/>
      <c r="AF7" s="359"/>
      <c r="AG7" s="359"/>
      <c r="AH7" s="359"/>
      <c r="AI7" s="358"/>
      <c r="AJ7" s="358"/>
      <c r="AK7" s="359"/>
      <c r="AL7" s="359"/>
      <c r="AM7" s="359"/>
      <c r="AN7" s="361"/>
      <c r="AO7" s="361"/>
      <c r="AP7" s="362"/>
      <c r="AQ7" s="355"/>
      <c r="AR7" s="361"/>
      <c r="AS7" s="363"/>
      <c r="AT7" s="363"/>
      <c r="AU7" s="363"/>
      <c r="AV7" s="361"/>
      <c r="AW7" s="361"/>
      <c r="AX7" s="361"/>
      <c r="AY7" s="359"/>
      <c r="AZ7" s="359"/>
      <c r="BA7" s="359"/>
      <c r="BB7" s="359"/>
      <c r="BC7" s="354"/>
      <c r="BD7" s="354"/>
      <c r="BE7" s="359"/>
      <c r="BF7" s="359"/>
      <c r="BG7" s="359"/>
      <c r="BH7" s="359"/>
      <c r="BI7" s="359"/>
      <c r="BJ7" s="362"/>
      <c r="BK7" s="362"/>
      <c r="BL7" s="356"/>
      <c r="BM7" s="356"/>
      <c r="BN7" s="356"/>
      <c r="BO7" s="360"/>
      <c r="BP7" s="363"/>
      <c r="BQ7" s="363"/>
      <c r="BR7" s="363"/>
      <c r="BS7" s="363"/>
      <c r="BT7" s="356"/>
      <c r="BU7" s="356"/>
      <c r="BV7" s="356"/>
      <c r="BW7" s="361"/>
      <c r="BX7" s="361"/>
      <c r="BY7" s="359"/>
      <c r="BZ7" s="355"/>
      <c r="CA7" s="364"/>
      <c r="CB7" s="364"/>
      <c r="CC7" s="356"/>
      <c r="CD7" s="371"/>
      <c r="CE7" s="372"/>
      <c r="CF7" s="373"/>
      <c r="CG7" s="360"/>
      <c r="CH7" s="362"/>
      <c r="CI7" s="361"/>
      <c r="CJ7" s="362"/>
      <c r="CK7" s="362"/>
      <c r="CL7" s="359"/>
      <c r="CM7" s="359"/>
      <c r="CN7" s="359"/>
      <c r="CO7" s="361"/>
      <c r="CP7" s="362"/>
      <c r="CQ7" s="359"/>
      <c r="CR7" s="359"/>
      <c r="CS7" s="359"/>
      <c r="CT7" s="359"/>
      <c r="CU7" s="359"/>
      <c r="CV7" s="362"/>
      <c r="CW7" s="362"/>
      <c r="CX7" s="362"/>
      <c r="CY7" s="362"/>
      <c r="CZ7" s="359"/>
      <c r="DA7" s="359"/>
      <c r="DB7" s="362"/>
      <c r="DC7" s="362"/>
      <c r="DD7" s="359"/>
      <c r="DE7" s="358"/>
      <c r="DF7" s="358"/>
      <c r="DG7" s="358"/>
      <c r="DH7" s="359"/>
      <c r="DI7" s="358"/>
      <c r="DJ7" s="359"/>
      <c r="DK7" s="359"/>
      <c r="DL7" s="362"/>
      <c r="DM7" s="362"/>
      <c r="DN7" s="359"/>
      <c r="DO7" s="359"/>
      <c r="DP7" s="358"/>
      <c r="DQ7" s="358"/>
      <c r="DR7" s="358"/>
      <c r="DS7" s="358"/>
      <c r="DT7" s="358"/>
      <c r="DU7" s="359"/>
      <c r="DV7" s="359"/>
      <c r="DW7" s="359"/>
      <c r="DX7" s="355"/>
      <c r="DY7" s="355"/>
      <c r="DZ7" s="362"/>
      <c r="EA7" s="359"/>
      <c r="EB7" s="359"/>
      <c r="EC7" s="359"/>
      <c r="ED7" s="358"/>
      <c r="EE7" s="362"/>
      <c r="EF7" s="362"/>
      <c r="EG7" s="362"/>
      <c r="EH7" s="362"/>
      <c r="EI7" s="358"/>
      <c r="EJ7" s="358"/>
      <c r="EK7" s="362"/>
      <c r="EL7" s="362"/>
      <c r="EM7" s="362"/>
      <c r="EN7" s="362"/>
      <c r="EO7" s="359"/>
      <c r="EP7" s="359"/>
      <c r="EQ7" s="362"/>
      <c r="ER7" s="362"/>
      <c r="ES7" s="362"/>
      <c r="ET7" s="358"/>
      <c r="EU7" s="358"/>
      <c r="EV7" s="359"/>
      <c r="EW7" s="359"/>
      <c r="EX7" s="359"/>
      <c r="EY7" s="359"/>
      <c r="EZ7" s="358"/>
      <c r="FA7" s="362"/>
      <c r="FB7" s="358"/>
      <c r="FC7" s="358"/>
      <c r="FD7" s="359"/>
      <c r="FE7" s="358"/>
      <c r="FF7" s="357"/>
      <c r="FG7" s="357"/>
      <c r="FH7" s="358"/>
      <c r="FI7" s="359"/>
      <c r="FJ7" s="358"/>
      <c r="FK7" s="361"/>
      <c r="FL7" s="361"/>
      <c r="FM7" s="355"/>
      <c r="FN7" s="358"/>
      <c r="FO7" s="359"/>
      <c r="FP7" s="359"/>
      <c r="FQ7" s="359"/>
      <c r="FR7" s="359"/>
      <c r="FS7" s="355"/>
      <c r="FT7" s="361"/>
      <c r="FU7" s="361"/>
      <c r="FV7" s="361"/>
      <c r="FW7" s="361"/>
      <c r="FX7" s="361"/>
      <c r="FY7" s="356"/>
      <c r="FZ7" s="356"/>
      <c r="GA7" s="360"/>
      <c r="GB7" s="360"/>
      <c r="GC7" s="360"/>
      <c r="GD7" s="360"/>
      <c r="GE7" s="360"/>
      <c r="GF7" s="360"/>
      <c r="GG7" s="364"/>
      <c r="GH7" s="364"/>
      <c r="GI7" s="356"/>
      <c r="GJ7" s="364"/>
      <c r="GK7" s="364"/>
      <c r="GL7" s="355"/>
      <c r="GM7" s="361"/>
      <c r="GN7" s="362"/>
      <c r="GO7" s="355"/>
      <c r="GP7" s="355"/>
      <c r="GQ7" s="358"/>
      <c r="GR7" s="362"/>
    </row>
    <row r="8" spans="1:200" ht="13.5" customHeight="1" x14ac:dyDescent="0.2">
      <c r="A8" s="359" t="s">
        <v>207</v>
      </c>
      <c r="B8" s="359" t="s">
        <v>232</v>
      </c>
      <c r="C8" s="358"/>
      <c r="D8" s="359"/>
      <c r="E8" s="359"/>
      <c r="F8" s="359"/>
      <c r="G8" s="359"/>
      <c r="H8" s="359"/>
      <c r="I8" s="359"/>
      <c r="J8" s="359"/>
      <c r="K8" s="362"/>
      <c r="L8" s="361"/>
      <c r="M8" s="361"/>
      <c r="N8" s="355"/>
      <c r="O8" s="356"/>
      <c r="P8" s="363"/>
      <c r="Q8" s="363"/>
      <c r="R8" s="363"/>
      <c r="S8" s="363"/>
      <c r="T8" s="369"/>
      <c r="U8" s="363"/>
      <c r="V8" s="368"/>
      <c r="W8" s="363"/>
      <c r="X8" s="363"/>
      <c r="Y8" s="363"/>
      <c r="Z8" s="356"/>
      <c r="AA8" s="361"/>
      <c r="AB8" s="361"/>
      <c r="AC8" s="361"/>
      <c r="AD8" s="358"/>
      <c r="AE8" s="359"/>
      <c r="AF8" s="359"/>
      <c r="AG8" s="358"/>
      <c r="AH8" s="358"/>
      <c r="AI8" s="362"/>
      <c r="AJ8" s="358"/>
      <c r="AK8" s="359"/>
      <c r="AL8" s="359"/>
      <c r="AM8" s="359"/>
      <c r="AN8" s="359"/>
      <c r="AO8" s="362"/>
      <c r="AP8" s="362"/>
      <c r="AQ8" s="361"/>
      <c r="AR8" s="361"/>
      <c r="AS8" s="361"/>
      <c r="AT8" s="360"/>
      <c r="AU8" s="360"/>
      <c r="AV8" s="360"/>
      <c r="AW8" s="360"/>
      <c r="AX8" s="361"/>
      <c r="AY8" s="359"/>
      <c r="AZ8" s="359"/>
      <c r="BA8" s="359"/>
      <c r="BB8" s="359"/>
      <c r="BC8" s="359"/>
      <c r="BD8" s="359"/>
      <c r="BE8" s="359"/>
      <c r="BF8" s="359"/>
      <c r="BG8" s="359"/>
      <c r="BH8" s="359"/>
      <c r="BI8" s="359"/>
      <c r="BJ8" s="362"/>
      <c r="BK8" s="361"/>
      <c r="BL8" s="360"/>
      <c r="BM8" s="356"/>
      <c r="BN8" s="360"/>
      <c r="BO8" s="356"/>
      <c r="BP8" s="356"/>
      <c r="BQ8" s="363"/>
      <c r="BR8" s="363"/>
      <c r="BS8" s="363"/>
      <c r="BT8" s="360"/>
      <c r="BU8" s="360"/>
      <c r="BV8" s="355"/>
      <c r="BW8" s="361"/>
      <c r="BX8" s="361"/>
      <c r="BY8" s="359"/>
      <c r="BZ8" s="359"/>
      <c r="CA8" s="364"/>
      <c r="CB8" s="364"/>
      <c r="CC8" s="360"/>
      <c r="CD8" s="374"/>
      <c r="CE8" s="374"/>
      <c r="CF8" s="374"/>
      <c r="CG8" s="374"/>
      <c r="CH8" s="373"/>
      <c r="CI8" s="361"/>
      <c r="CJ8" s="361"/>
      <c r="CK8" s="358"/>
      <c r="CL8" s="362"/>
      <c r="CM8" s="362"/>
      <c r="CN8" s="362"/>
      <c r="CO8" s="359"/>
      <c r="CP8" s="357"/>
      <c r="CQ8" s="359"/>
      <c r="CR8" s="359"/>
      <c r="CS8" s="359"/>
      <c r="CT8" s="362"/>
      <c r="CU8" s="362"/>
      <c r="CV8" s="361"/>
      <c r="CW8" s="362"/>
      <c r="CX8" s="362"/>
      <c r="CY8" s="359"/>
      <c r="CZ8" s="359"/>
      <c r="DA8" s="358"/>
      <c r="DB8" s="359"/>
      <c r="DC8" s="359"/>
      <c r="DD8" s="359"/>
      <c r="DE8" s="359"/>
      <c r="DF8" s="358"/>
      <c r="DG8" s="358"/>
      <c r="DH8" s="359"/>
      <c r="DI8" s="358"/>
      <c r="DJ8" s="362"/>
      <c r="DK8" s="362"/>
      <c r="DL8" s="362"/>
      <c r="DM8" s="359"/>
      <c r="DN8" s="358"/>
      <c r="DO8" s="358"/>
      <c r="DP8" s="358"/>
      <c r="DQ8" s="355"/>
      <c r="DR8" s="361"/>
      <c r="DS8" s="361"/>
      <c r="DT8" s="361"/>
      <c r="DU8" s="355"/>
      <c r="DV8" s="359"/>
      <c r="DW8" s="370"/>
      <c r="DX8" s="361"/>
      <c r="DY8" s="361"/>
      <c r="DZ8" s="362"/>
      <c r="EA8" s="362"/>
      <c r="EB8" s="359"/>
      <c r="EC8" s="359"/>
      <c r="ED8" s="358"/>
      <c r="EE8" s="357"/>
      <c r="EF8" s="362"/>
      <c r="EG8" s="362"/>
      <c r="EH8" s="358"/>
      <c r="EI8" s="358"/>
      <c r="EJ8" s="359"/>
      <c r="EK8" s="362"/>
      <c r="EL8" s="362"/>
      <c r="EM8" s="359"/>
      <c r="EN8" s="359"/>
      <c r="EO8" s="359"/>
      <c r="EP8" s="359"/>
      <c r="EQ8" s="362"/>
      <c r="ER8" s="358"/>
      <c r="ES8" s="362"/>
      <c r="ET8" s="362"/>
      <c r="EU8" s="358"/>
      <c r="EV8" s="359"/>
      <c r="EW8" s="357"/>
      <c r="EX8" s="357"/>
      <c r="EY8" s="359"/>
      <c r="EZ8" s="358"/>
      <c r="FA8" s="359"/>
      <c r="FB8" s="359"/>
      <c r="FC8" s="362"/>
      <c r="FD8" s="362"/>
      <c r="FE8" s="357"/>
      <c r="FF8" s="357"/>
      <c r="FG8" s="358"/>
      <c r="FH8" s="358"/>
      <c r="FI8" s="359"/>
      <c r="FJ8" s="362"/>
      <c r="FK8" s="362"/>
      <c r="FL8" s="361"/>
      <c r="FM8" s="358"/>
      <c r="FN8" s="362"/>
      <c r="FO8" s="362"/>
      <c r="FP8" s="359"/>
      <c r="FQ8" s="361"/>
      <c r="FR8" s="361"/>
      <c r="FS8" s="362"/>
      <c r="FT8" s="362"/>
      <c r="FU8" s="361"/>
      <c r="FV8" s="361"/>
      <c r="FW8" s="361"/>
      <c r="FX8" s="360"/>
      <c r="FY8" s="360"/>
      <c r="FZ8" s="364"/>
      <c r="GA8" s="364"/>
      <c r="GB8" s="360"/>
      <c r="GC8" s="355"/>
      <c r="GD8" s="356"/>
      <c r="GE8" s="356"/>
      <c r="GF8" s="356"/>
      <c r="GG8" s="360"/>
      <c r="GH8" s="363"/>
      <c r="GI8" s="364"/>
      <c r="GJ8" s="356"/>
      <c r="GK8" s="363"/>
      <c r="GL8" s="364"/>
      <c r="GM8" s="355"/>
      <c r="GN8" s="361"/>
      <c r="GO8" s="361"/>
      <c r="GP8" s="358"/>
      <c r="GQ8" s="361"/>
      <c r="GR8" s="361"/>
    </row>
    <row r="9" spans="1:200" ht="13.5" customHeight="1" x14ac:dyDescent="0.2">
      <c r="A9" s="359" t="s">
        <v>244</v>
      </c>
      <c r="B9" s="359" t="s">
        <v>230</v>
      </c>
      <c r="C9" s="358"/>
      <c r="D9" s="359"/>
      <c r="E9" s="359"/>
      <c r="F9" s="359"/>
      <c r="G9" s="359"/>
      <c r="H9" s="359"/>
      <c r="I9" s="358"/>
      <c r="J9" s="359"/>
      <c r="K9" s="361"/>
      <c r="L9" s="361"/>
      <c r="M9" s="361"/>
      <c r="N9" s="356"/>
      <c r="O9" s="356"/>
      <c r="P9" s="375"/>
      <c r="Q9" s="363"/>
      <c r="R9" s="363"/>
      <c r="S9" s="368"/>
      <c r="T9" s="368"/>
      <c r="U9" s="368"/>
      <c r="V9" s="368"/>
      <c r="W9" s="363"/>
      <c r="X9" s="356"/>
      <c r="Y9" s="364"/>
      <c r="Z9" s="356"/>
      <c r="AA9" s="360"/>
      <c r="AB9" s="361"/>
      <c r="AC9" s="361"/>
      <c r="AD9" s="362"/>
      <c r="AE9" s="358"/>
      <c r="AF9" s="358"/>
      <c r="AG9" s="358"/>
      <c r="AH9" s="358"/>
      <c r="AI9" s="362"/>
      <c r="AJ9" s="358"/>
      <c r="AK9" s="359"/>
      <c r="AL9" s="359"/>
      <c r="AM9" s="359"/>
      <c r="AN9" s="358"/>
      <c r="AO9" s="362"/>
      <c r="AP9" s="362"/>
      <c r="AQ9" s="362"/>
      <c r="AR9" s="361"/>
      <c r="AS9" s="362"/>
      <c r="AT9" s="361"/>
      <c r="AU9" s="361"/>
      <c r="AV9" s="362"/>
      <c r="AW9" s="359"/>
      <c r="AX9" s="355"/>
      <c r="AY9" s="355"/>
      <c r="AZ9" s="358"/>
      <c r="BA9" s="358"/>
      <c r="BB9" s="359"/>
      <c r="BC9" s="359"/>
      <c r="BD9" s="359"/>
      <c r="BE9" s="359"/>
      <c r="BF9" s="359"/>
      <c r="BG9" s="359"/>
      <c r="BH9" s="359"/>
      <c r="BI9" s="359"/>
      <c r="BJ9" s="361"/>
      <c r="BK9" s="355"/>
      <c r="BL9" s="355"/>
      <c r="BM9" s="360"/>
      <c r="BN9" s="360"/>
      <c r="BO9" s="356"/>
      <c r="BP9" s="356"/>
      <c r="BQ9" s="361"/>
      <c r="BR9" s="364"/>
      <c r="BS9" s="363"/>
      <c r="BT9" s="360"/>
      <c r="BU9" s="360"/>
      <c r="BV9" s="355"/>
      <c r="BW9" s="361"/>
      <c r="BX9" s="361"/>
      <c r="BY9" s="359"/>
      <c r="BZ9" s="361"/>
      <c r="CA9" s="364"/>
      <c r="CB9" s="373"/>
      <c r="CC9" s="375"/>
      <c r="CD9" s="374"/>
      <c r="CE9" s="374"/>
      <c r="CF9" s="374"/>
      <c r="CG9" s="374"/>
      <c r="CH9" s="374"/>
      <c r="CI9" s="360"/>
      <c r="CJ9" s="361"/>
      <c r="CK9" s="361"/>
      <c r="CL9" s="359"/>
      <c r="CM9" s="359"/>
      <c r="CN9" s="359"/>
      <c r="CO9" s="359"/>
      <c r="CP9" s="358"/>
      <c r="CQ9" s="362"/>
      <c r="CR9" s="359"/>
      <c r="CS9" s="362"/>
      <c r="CT9" s="359"/>
      <c r="CU9" s="362"/>
      <c r="CV9" s="361"/>
      <c r="CW9" s="362"/>
      <c r="CX9" s="359"/>
      <c r="CY9" s="359"/>
      <c r="CZ9" s="359"/>
      <c r="DA9" s="359"/>
      <c r="DB9" s="359"/>
      <c r="DC9" s="359"/>
      <c r="DD9" s="358"/>
      <c r="DE9" s="359"/>
      <c r="DF9" s="359"/>
      <c r="DG9" s="359"/>
      <c r="DH9" s="359"/>
      <c r="DI9" s="359"/>
      <c r="DJ9" s="359"/>
      <c r="DK9" s="359"/>
      <c r="DL9" s="359"/>
      <c r="DM9" s="361"/>
      <c r="DN9" s="358"/>
      <c r="DO9" s="362"/>
      <c r="DP9" s="362"/>
      <c r="DQ9" s="362"/>
      <c r="DR9" s="362"/>
      <c r="DS9" s="373"/>
      <c r="DT9" s="373"/>
      <c r="DU9" s="356"/>
      <c r="DV9" s="375"/>
      <c r="DW9" s="375"/>
      <c r="DX9" s="358"/>
      <c r="DY9" s="358"/>
      <c r="DZ9" s="361"/>
      <c r="EA9" s="362"/>
      <c r="EB9" s="362"/>
      <c r="EC9" s="358"/>
      <c r="ED9" s="358"/>
      <c r="EE9" s="358"/>
      <c r="EF9" s="362"/>
      <c r="EG9" s="362"/>
      <c r="EH9" s="358"/>
      <c r="EI9" s="359"/>
      <c r="EJ9" s="359"/>
      <c r="EK9" s="359"/>
      <c r="EL9" s="359"/>
      <c r="EM9" s="359"/>
      <c r="EN9" s="359"/>
      <c r="EO9" s="359"/>
      <c r="EP9" s="358"/>
      <c r="EQ9" s="358"/>
      <c r="ER9" s="362"/>
      <c r="ES9" s="362"/>
      <c r="ET9" s="362"/>
      <c r="EU9" s="358"/>
      <c r="EV9" s="358"/>
      <c r="EW9" s="354"/>
      <c r="EX9" s="357"/>
      <c r="EY9" s="359"/>
      <c r="EZ9" s="359"/>
      <c r="FA9" s="362"/>
      <c r="FB9" s="362"/>
      <c r="FC9" s="362"/>
      <c r="FD9" s="359"/>
      <c r="FE9" s="359"/>
      <c r="FF9" s="358"/>
      <c r="FG9" s="358"/>
      <c r="FH9" s="357"/>
      <c r="FI9" s="359"/>
      <c r="FJ9" s="358"/>
      <c r="FK9" s="361"/>
      <c r="FL9" s="359"/>
      <c r="FM9" s="358"/>
      <c r="FN9" s="362"/>
      <c r="FO9" s="362"/>
      <c r="FP9" s="361"/>
      <c r="FQ9" s="361"/>
      <c r="FR9" s="361"/>
      <c r="FS9" s="361"/>
      <c r="FT9" s="364"/>
      <c r="FU9" s="364"/>
      <c r="FV9" s="360"/>
      <c r="FW9" s="360"/>
      <c r="FX9" s="360"/>
      <c r="FY9" s="356"/>
      <c r="FZ9" s="356"/>
      <c r="GA9" s="356"/>
      <c r="GB9" s="364"/>
      <c r="GC9" s="356"/>
      <c r="GD9" s="364"/>
      <c r="GE9" s="364"/>
      <c r="GF9" s="364"/>
      <c r="GG9" s="356"/>
      <c r="GH9" s="364"/>
      <c r="GI9" s="360"/>
      <c r="GJ9" s="364"/>
      <c r="GK9" s="360"/>
      <c r="GL9" s="356"/>
      <c r="GM9" s="364"/>
      <c r="GN9" s="355"/>
      <c r="GO9" s="355"/>
      <c r="GP9" s="361"/>
      <c r="GQ9" s="358"/>
      <c r="GR9" s="361"/>
    </row>
    <row r="10" spans="1:200" ht="13.5" customHeight="1" x14ac:dyDescent="0.2">
      <c r="A10" s="359" t="s">
        <v>258</v>
      </c>
      <c r="B10" s="359" t="s">
        <v>231</v>
      </c>
      <c r="C10" s="358"/>
      <c r="D10" s="359"/>
      <c r="E10" s="359"/>
      <c r="F10" s="359"/>
      <c r="G10" s="359"/>
      <c r="H10" s="358"/>
      <c r="I10" s="358"/>
      <c r="J10" s="359"/>
      <c r="K10" s="361"/>
      <c r="L10" s="361"/>
      <c r="M10" s="361"/>
      <c r="N10" s="356"/>
      <c r="O10" s="356"/>
      <c r="P10" s="363"/>
      <c r="Q10" s="375"/>
      <c r="R10" s="363"/>
      <c r="S10" s="368"/>
      <c r="T10" s="368"/>
      <c r="U10" s="368"/>
      <c r="V10" s="363"/>
      <c r="W10" s="363"/>
      <c r="X10" s="364"/>
      <c r="Y10" s="356"/>
      <c r="Z10" s="356"/>
      <c r="AA10" s="360"/>
      <c r="AB10" s="361"/>
      <c r="AC10" s="361"/>
      <c r="AD10" s="358"/>
      <c r="AE10" s="359"/>
      <c r="AF10" s="358"/>
      <c r="AG10" s="359"/>
      <c r="AH10" s="359"/>
      <c r="AI10" s="358"/>
      <c r="AJ10" s="358"/>
      <c r="AK10" s="358"/>
      <c r="AL10" s="357"/>
      <c r="AM10" s="359"/>
      <c r="AN10" s="359"/>
      <c r="AO10" s="359"/>
      <c r="AP10" s="359"/>
      <c r="AQ10" s="359"/>
      <c r="AR10" s="359"/>
      <c r="AS10" s="362"/>
      <c r="AT10" s="359"/>
      <c r="AU10" s="359"/>
      <c r="AV10" s="357"/>
      <c r="AW10" s="357"/>
      <c r="AX10" s="359"/>
      <c r="AY10" s="359"/>
      <c r="AZ10" s="359"/>
      <c r="BA10" s="361"/>
      <c r="BB10" s="361"/>
      <c r="BC10" s="362"/>
      <c r="BD10" s="362"/>
      <c r="BE10" s="358"/>
      <c r="BF10" s="359"/>
      <c r="BG10" s="359"/>
      <c r="BH10" s="359"/>
      <c r="BI10" s="358"/>
      <c r="BJ10" s="361"/>
      <c r="BK10" s="361"/>
      <c r="BL10" s="361"/>
      <c r="BM10" s="356"/>
      <c r="BN10" s="364"/>
      <c r="BO10" s="356"/>
      <c r="BP10" s="356"/>
      <c r="BQ10" s="361"/>
      <c r="BR10" s="355"/>
      <c r="BS10" s="360"/>
      <c r="BT10" s="360"/>
      <c r="BU10" s="355"/>
      <c r="BV10" s="359"/>
      <c r="BW10" s="361"/>
      <c r="BX10" s="361"/>
      <c r="BY10" s="362"/>
      <c r="BZ10" s="359"/>
      <c r="CA10" s="364"/>
      <c r="CB10" s="360"/>
      <c r="CC10" s="374"/>
      <c r="CD10" s="374"/>
      <c r="CE10" s="376"/>
      <c r="CF10" s="374"/>
      <c r="CG10" s="374"/>
      <c r="CH10" s="374"/>
      <c r="CI10" s="371"/>
      <c r="CJ10" s="361"/>
      <c r="CK10" s="358"/>
      <c r="CL10" s="358"/>
      <c r="CM10" s="359"/>
      <c r="CN10" s="358"/>
      <c r="CO10" s="358"/>
      <c r="CP10" s="359"/>
      <c r="CQ10" s="359"/>
      <c r="CR10" s="359"/>
      <c r="CS10" s="359"/>
      <c r="CT10" s="359"/>
      <c r="CU10" s="359"/>
      <c r="CV10" s="359"/>
      <c r="CW10" s="354"/>
      <c r="CX10" s="359"/>
      <c r="CY10" s="359"/>
      <c r="CZ10" s="359"/>
      <c r="DA10" s="359"/>
      <c r="DB10" s="359"/>
      <c r="DC10" s="359"/>
      <c r="DD10" s="359"/>
      <c r="DE10" s="359"/>
      <c r="DF10" s="359"/>
      <c r="DG10" s="359"/>
      <c r="DH10" s="359"/>
      <c r="DI10" s="359"/>
      <c r="DJ10" s="359"/>
      <c r="DK10" s="359"/>
      <c r="DL10" s="361"/>
      <c r="DM10" s="361"/>
      <c r="DN10" s="362"/>
      <c r="DO10" s="362"/>
      <c r="DP10" s="373"/>
      <c r="DQ10" s="375"/>
      <c r="DR10" s="360"/>
      <c r="DS10" s="374"/>
      <c r="DT10" s="374"/>
      <c r="DU10" s="360"/>
      <c r="DV10" s="360"/>
      <c r="DW10" s="375"/>
      <c r="DX10" s="375"/>
      <c r="DY10" s="377"/>
      <c r="DZ10" s="371"/>
      <c r="EA10" s="361"/>
      <c r="EB10" s="358"/>
      <c r="EC10" s="361"/>
      <c r="ED10" s="359"/>
      <c r="EE10" s="358"/>
      <c r="EF10" s="358"/>
      <c r="EG10" s="358"/>
      <c r="EH10" s="359"/>
      <c r="EI10" s="358"/>
      <c r="EJ10" s="359"/>
      <c r="EK10" s="359"/>
      <c r="EL10" s="359"/>
      <c r="EM10" s="359"/>
      <c r="EN10" s="359"/>
      <c r="EO10" s="359"/>
      <c r="EP10" s="361"/>
      <c r="EQ10" s="362"/>
      <c r="ER10" s="362"/>
      <c r="ES10" s="362"/>
      <c r="ET10" s="358"/>
      <c r="EU10" s="358"/>
      <c r="EV10" s="359"/>
      <c r="EW10" s="357"/>
      <c r="EX10" s="359"/>
      <c r="EY10" s="359"/>
      <c r="EZ10" s="362"/>
      <c r="FA10" s="362"/>
      <c r="FB10" s="361"/>
      <c r="FC10" s="358"/>
      <c r="FD10" s="358"/>
      <c r="FE10" s="362"/>
      <c r="FF10" s="358"/>
      <c r="FG10" s="357"/>
      <c r="FH10" s="359"/>
      <c r="FI10" s="358"/>
      <c r="FJ10" s="359"/>
      <c r="FK10" s="359"/>
      <c r="FL10" s="358"/>
      <c r="FM10" s="358"/>
      <c r="FN10" s="362"/>
      <c r="FO10" s="361"/>
      <c r="FP10" s="361"/>
      <c r="FQ10" s="361"/>
      <c r="FR10" s="355"/>
      <c r="FS10" s="364"/>
      <c r="FT10" s="364"/>
      <c r="FU10" s="364"/>
      <c r="FV10" s="360"/>
      <c r="FW10" s="378"/>
      <c r="FX10" s="378"/>
      <c r="FY10" s="378"/>
      <c r="FZ10" s="378"/>
      <c r="GA10" s="378"/>
      <c r="GB10" s="378"/>
      <c r="GC10" s="363"/>
      <c r="GD10" s="378"/>
      <c r="GE10" s="378"/>
      <c r="GF10" s="364"/>
      <c r="GG10" s="378"/>
      <c r="GH10" s="356"/>
      <c r="GI10" s="378"/>
      <c r="GJ10" s="363"/>
      <c r="GK10" s="363"/>
      <c r="GL10" s="360"/>
      <c r="GM10" s="360"/>
      <c r="GN10" s="364"/>
      <c r="GO10" s="364"/>
      <c r="GP10" s="355"/>
      <c r="GQ10" s="358"/>
      <c r="GR10" s="358"/>
    </row>
    <row r="11" spans="1:200" ht="13.5" customHeight="1" x14ac:dyDescent="0.2">
      <c r="A11" s="359" t="s">
        <v>253</v>
      </c>
      <c r="B11" s="354" t="s">
        <v>220</v>
      </c>
      <c r="C11" s="359"/>
      <c r="D11" s="359"/>
      <c r="E11" s="362"/>
      <c r="F11" s="362"/>
      <c r="G11" s="362"/>
      <c r="H11" s="362"/>
      <c r="I11" s="359"/>
      <c r="J11" s="359"/>
      <c r="K11" s="362"/>
      <c r="L11" s="361"/>
      <c r="M11" s="361"/>
      <c r="N11" s="361"/>
      <c r="O11" s="355"/>
      <c r="P11" s="361"/>
      <c r="Q11" s="360"/>
      <c r="R11" s="364"/>
      <c r="S11" s="363"/>
      <c r="T11" s="363"/>
      <c r="U11" s="363"/>
      <c r="V11" s="363"/>
      <c r="W11" s="356"/>
      <c r="X11" s="360"/>
      <c r="Y11" s="360"/>
      <c r="Z11" s="360"/>
      <c r="AA11" s="361"/>
      <c r="AB11" s="361"/>
      <c r="AC11" s="361"/>
      <c r="AD11" s="362"/>
      <c r="AE11" s="362"/>
      <c r="AF11" s="362"/>
      <c r="AG11" s="362"/>
      <c r="AH11" s="362"/>
      <c r="AI11" s="362"/>
      <c r="AJ11" s="362"/>
      <c r="AK11" s="358"/>
      <c r="AL11" s="358"/>
      <c r="AM11" s="354"/>
      <c r="AN11" s="359"/>
      <c r="AO11" s="359"/>
      <c r="AP11" s="359"/>
      <c r="AQ11" s="359"/>
      <c r="AR11" s="359"/>
      <c r="AS11" s="359"/>
      <c r="AT11" s="354"/>
      <c r="AU11" s="359"/>
      <c r="AV11" s="359"/>
      <c r="AW11" s="359"/>
      <c r="AX11" s="359"/>
      <c r="AY11" s="359"/>
      <c r="AZ11" s="359"/>
      <c r="BA11" s="359"/>
      <c r="BB11" s="359"/>
      <c r="BC11" s="362"/>
      <c r="BD11" s="362"/>
      <c r="BE11" s="358"/>
      <c r="BF11" s="359"/>
      <c r="BG11" s="359"/>
      <c r="BH11" s="359"/>
      <c r="BI11" s="359"/>
      <c r="BJ11" s="362"/>
      <c r="BK11" s="361"/>
      <c r="BL11" s="362"/>
      <c r="BM11" s="364"/>
      <c r="BN11" s="362"/>
      <c r="BO11" s="360"/>
      <c r="BP11" s="360"/>
      <c r="BQ11" s="361"/>
      <c r="BR11" s="355"/>
      <c r="BS11" s="355"/>
      <c r="BT11" s="355"/>
      <c r="BU11" s="362"/>
      <c r="BV11" s="361"/>
      <c r="BW11" s="361"/>
      <c r="BX11" s="361"/>
      <c r="BY11" s="362"/>
      <c r="BZ11" s="361"/>
      <c r="CA11" s="360"/>
      <c r="CB11" s="371"/>
      <c r="CC11" s="374"/>
      <c r="CD11" s="374"/>
      <c r="CE11" s="374"/>
      <c r="CF11" s="376"/>
      <c r="CG11" s="374"/>
      <c r="CH11" s="374"/>
      <c r="CI11" s="372"/>
      <c r="CJ11" s="361"/>
      <c r="CK11" s="362"/>
      <c r="CL11" s="362"/>
      <c r="CM11" s="359"/>
      <c r="CN11" s="362"/>
      <c r="CO11" s="359"/>
      <c r="CP11" s="362"/>
      <c r="CQ11" s="362"/>
      <c r="CR11" s="362"/>
      <c r="CS11" s="359"/>
      <c r="CT11" s="359"/>
      <c r="CU11" s="359"/>
      <c r="CV11" s="354"/>
      <c r="CW11" s="359"/>
      <c r="CX11" s="359"/>
      <c r="CY11" s="359"/>
      <c r="CZ11" s="359"/>
      <c r="DA11" s="359"/>
      <c r="DB11" s="359"/>
      <c r="DC11" s="359"/>
      <c r="DD11" s="359"/>
      <c r="DE11" s="359"/>
      <c r="DF11" s="359"/>
      <c r="DG11" s="359"/>
      <c r="DH11" s="359"/>
      <c r="DI11" s="359"/>
      <c r="DJ11" s="359"/>
      <c r="DK11" s="359"/>
      <c r="DL11" s="361"/>
      <c r="DM11" s="362"/>
      <c r="DN11" s="362"/>
      <c r="DO11" s="373"/>
      <c r="DP11" s="374"/>
      <c r="DQ11" s="372"/>
      <c r="DR11" s="374"/>
      <c r="DS11" s="374"/>
      <c r="DT11" s="374"/>
      <c r="DU11" s="375"/>
      <c r="DV11" s="375"/>
      <c r="DW11" s="374"/>
      <c r="DX11" s="372"/>
      <c r="DY11" s="375"/>
      <c r="DZ11" s="364"/>
      <c r="EA11" s="373"/>
      <c r="EB11" s="361"/>
      <c r="EC11" s="362"/>
      <c r="ED11" s="359"/>
      <c r="EE11" s="358"/>
      <c r="EF11" s="358"/>
      <c r="EG11" s="359"/>
      <c r="EH11" s="359"/>
      <c r="EI11" s="362"/>
      <c r="EJ11" s="362"/>
      <c r="EK11" s="362"/>
      <c r="EL11" s="359"/>
      <c r="EM11" s="358"/>
      <c r="EN11" s="359"/>
      <c r="EO11" s="359"/>
      <c r="EP11" s="362"/>
      <c r="EQ11" s="362"/>
      <c r="ER11" s="362"/>
      <c r="ES11" s="358"/>
      <c r="ET11" s="358"/>
      <c r="EU11" s="358"/>
      <c r="EV11" s="357"/>
      <c r="EW11" s="357"/>
      <c r="EX11" s="359"/>
      <c r="EY11" s="359"/>
      <c r="EZ11" s="359"/>
      <c r="FA11" s="361"/>
      <c r="FB11" s="362"/>
      <c r="FC11" s="358"/>
      <c r="FD11" s="362"/>
      <c r="FE11" s="362"/>
      <c r="FF11" s="359"/>
      <c r="FG11" s="359"/>
      <c r="FH11" s="359"/>
      <c r="FI11" s="359"/>
      <c r="FJ11" s="358"/>
      <c r="FK11" s="355"/>
      <c r="FL11" s="359"/>
      <c r="FM11" s="355"/>
      <c r="FN11" s="355"/>
      <c r="FO11" s="361"/>
      <c r="FP11" s="361"/>
      <c r="FQ11" s="360"/>
      <c r="FR11" s="364"/>
      <c r="FS11" s="364"/>
      <c r="FT11" s="356"/>
      <c r="FU11" s="360"/>
      <c r="FV11" s="378"/>
      <c r="FW11" s="378"/>
      <c r="FX11" s="378"/>
      <c r="FY11" s="378"/>
      <c r="FZ11" s="363"/>
      <c r="GA11" s="363"/>
      <c r="GB11" s="378"/>
      <c r="GC11" s="378"/>
      <c r="GD11" s="363"/>
      <c r="GE11" s="363"/>
      <c r="GF11" s="363"/>
      <c r="GG11" s="363"/>
      <c r="GH11" s="363"/>
      <c r="GI11" s="363"/>
      <c r="GJ11" s="378"/>
      <c r="GK11" s="363"/>
      <c r="GL11" s="363"/>
      <c r="GM11" s="378"/>
      <c r="GN11" s="363"/>
      <c r="GO11" s="360"/>
      <c r="GP11" s="364"/>
      <c r="GQ11" s="355"/>
      <c r="GR11" s="358"/>
    </row>
    <row r="12" spans="1:200" ht="13.5" customHeight="1" x14ac:dyDescent="0.2">
      <c r="A12" s="359" t="s">
        <v>240</v>
      </c>
      <c r="B12" s="359" t="s">
        <v>219</v>
      </c>
      <c r="C12" s="359"/>
      <c r="D12" s="359"/>
      <c r="E12" s="359"/>
      <c r="F12" s="359"/>
      <c r="G12" s="359"/>
      <c r="H12" s="357"/>
      <c r="I12" s="359"/>
      <c r="J12" s="359"/>
      <c r="K12" s="358"/>
      <c r="L12" s="362"/>
      <c r="M12" s="361"/>
      <c r="N12" s="361"/>
      <c r="O12" s="361"/>
      <c r="P12" s="355"/>
      <c r="Q12" s="356"/>
      <c r="R12" s="356"/>
      <c r="S12" s="364"/>
      <c r="T12" s="356"/>
      <c r="U12" s="356"/>
      <c r="V12" s="356"/>
      <c r="W12" s="360"/>
      <c r="X12" s="356"/>
      <c r="Y12" s="360"/>
      <c r="Z12" s="361"/>
      <c r="AA12" s="361"/>
      <c r="AB12" s="361"/>
      <c r="AC12" s="362"/>
      <c r="AD12" s="362"/>
      <c r="AE12" s="362"/>
      <c r="AF12" s="362"/>
      <c r="AG12" s="362"/>
      <c r="AH12" s="362"/>
      <c r="AI12" s="362"/>
      <c r="AJ12" s="362"/>
      <c r="AK12" s="358"/>
      <c r="AL12" s="365"/>
      <c r="AM12" s="354"/>
      <c r="AN12" s="359"/>
      <c r="AO12" s="359"/>
      <c r="AP12" s="358"/>
      <c r="AQ12" s="358"/>
      <c r="AR12" s="358"/>
      <c r="AS12" s="358"/>
      <c r="AT12" s="358"/>
      <c r="AU12" s="362"/>
      <c r="AV12" s="362"/>
      <c r="AW12" s="362"/>
      <c r="AX12" s="362"/>
      <c r="AY12" s="362"/>
      <c r="AZ12" s="362"/>
      <c r="BA12" s="362"/>
      <c r="BB12" s="359"/>
      <c r="BC12" s="357"/>
      <c r="BD12" s="354"/>
      <c r="BE12" s="359"/>
      <c r="BF12" s="359"/>
      <c r="BG12" s="359"/>
      <c r="BH12" s="359"/>
      <c r="BI12" s="359"/>
      <c r="BJ12" s="359"/>
      <c r="BK12" s="361"/>
      <c r="BL12" s="362"/>
      <c r="BM12" s="361"/>
      <c r="BN12" s="361"/>
      <c r="BO12" s="361"/>
      <c r="BP12" s="360"/>
      <c r="BQ12" s="356"/>
      <c r="BR12" s="360"/>
      <c r="BS12" s="360"/>
      <c r="BT12" s="361"/>
      <c r="BU12" s="361"/>
      <c r="BV12" s="361"/>
      <c r="BW12" s="361"/>
      <c r="BX12" s="362"/>
      <c r="BY12" s="362"/>
      <c r="BZ12" s="362"/>
      <c r="CA12" s="355"/>
      <c r="CB12" s="372"/>
      <c r="CC12" s="374"/>
      <c r="CD12" s="374"/>
      <c r="CE12" s="374"/>
      <c r="CF12" s="374"/>
      <c r="CG12" s="374"/>
      <c r="CH12" s="374"/>
      <c r="CI12" s="373"/>
      <c r="CJ12" s="361"/>
      <c r="CK12" s="358"/>
      <c r="CL12" s="362"/>
      <c r="CM12" s="362"/>
      <c r="CN12" s="359"/>
      <c r="CO12" s="359"/>
      <c r="CP12" s="362"/>
      <c r="CQ12" s="362"/>
      <c r="CR12" s="362"/>
      <c r="CS12" s="362"/>
      <c r="CT12" s="359"/>
      <c r="CU12" s="359"/>
      <c r="CV12" s="359"/>
      <c r="CW12" s="362"/>
      <c r="CX12" s="362"/>
      <c r="CY12" s="362"/>
      <c r="CZ12" s="359"/>
      <c r="DA12" s="359"/>
      <c r="DB12" s="359"/>
      <c r="DC12" s="358"/>
      <c r="DD12" s="359"/>
      <c r="DE12" s="359"/>
      <c r="DF12" s="359"/>
      <c r="DG12" s="359"/>
      <c r="DH12" s="359"/>
      <c r="DI12" s="359"/>
      <c r="DJ12" s="359"/>
      <c r="DK12" s="359"/>
      <c r="DL12" s="361"/>
      <c r="DM12" s="373"/>
      <c r="DN12" s="375"/>
      <c r="DO12" s="374"/>
      <c r="DP12" s="374"/>
      <c r="DQ12" s="374"/>
      <c r="DR12" s="374"/>
      <c r="DS12" s="379"/>
      <c r="DT12" s="379"/>
      <c r="DU12" s="379"/>
      <c r="DV12" s="374"/>
      <c r="DW12" s="374"/>
      <c r="DX12" s="374"/>
      <c r="DY12" s="360"/>
      <c r="DZ12" s="375"/>
      <c r="EA12" s="375"/>
      <c r="EB12" s="361"/>
      <c r="EC12" s="355"/>
      <c r="ED12" s="359"/>
      <c r="EE12" s="359"/>
      <c r="EF12" s="358"/>
      <c r="EG12" s="359"/>
      <c r="EH12" s="362"/>
      <c r="EI12" s="362"/>
      <c r="EJ12" s="362"/>
      <c r="EK12" s="362"/>
      <c r="EL12" s="358"/>
      <c r="EM12" s="359"/>
      <c r="EN12" s="359"/>
      <c r="EO12" s="362"/>
      <c r="EP12" s="362"/>
      <c r="EQ12" s="358"/>
      <c r="ER12" s="359"/>
      <c r="ES12" s="359"/>
      <c r="ET12" s="362"/>
      <c r="EU12" s="359"/>
      <c r="EV12" s="357"/>
      <c r="EW12" s="357"/>
      <c r="EX12" s="359"/>
      <c r="EY12" s="359"/>
      <c r="EZ12" s="361"/>
      <c r="FA12" s="362"/>
      <c r="FB12" s="362"/>
      <c r="FC12" s="358"/>
      <c r="FD12" s="362"/>
      <c r="FE12" s="359"/>
      <c r="FF12" s="359"/>
      <c r="FG12" s="358"/>
      <c r="FH12" s="359"/>
      <c r="FI12" s="359"/>
      <c r="FJ12" s="358"/>
      <c r="FK12" s="358"/>
      <c r="FL12" s="360"/>
      <c r="FM12" s="360"/>
      <c r="FN12" s="355"/>
      <c r="FO12" s="361"/>
      <c r="FP12" s="364"/>
      <c r="FQ12" s="364"/>
      <c r="FR12" s="364"/>
      <c r="FS12" s="356"/>
      <c r="FT12" s="364"/>
      <c r="FU12" s="364"/>
      <c r="FV12" s="378"/>
      <c r="FW12" s="378"/>
      <c r="FX12" s="363"/>
      <c r="FY12" s="378"/>
      <c r="FZ12" s="378"/>
      <c r="GA12" s="378"/>
      <c r="GB12" s="378"/>
      <c r="GC12" s="378"/>
      <c r="GD12" s="378"/>
      <c r="GE12" s="378"/>
      <c r="GF12" s="363"/>
      <c r="GG12" s="378"/>
      <c r="GH12" s="363"/>
      <c r="GI12" s="363"/>
      <c r="GJ12" s="363"/>
      <c r="GK12" s="378"/>
      <c r="GL12" s="363"/>
      <c r="GM12" s="363"/>
      <c r="GN12" s="364"/>
      <c r="GO12" s="356"/>
      <c r="GP12" s="356"/>
      <c r="GQ12" s="364"/>
      <c r="GR12" s="364"/>
    </row>
    <row r="13" spans="1:200" ht="13.5" customHeight="1" x14ac:dyDescent="0.2">
      <c r="A13" s="359" t="s">
        <v>252</v>
      </c>
      <c r="B13" s="359" t="s">
        <v>226</v>
      </c>
      <c r="C13" s="359"/>
      <c r="D13" s="359"/>
      <c r="E13" s="359"/>
      <c r="F13" s="357"/>
      <c r="G13" s="359"/>
      <c r="H13" s="358"/>
      <c r="I13" s="358"/>
      <c r="J13" s="358"/>
      <c r="K13" s="358"/>
      <c r="L13" s="359"/>
      <c r="M13" s="355"/>
      <c r="N13" s="358"/>
      <c r="O13" s="360"/>
      <c r="P13" s="361"/>
      <c r="Q13" s="361"/>
      <c r="R13" s="360"/>
      <c r="S13" s="361"/>
      <c r="T13" s="361"/>
      <c r="U13" s="361"/>
      <c r="V13" s="360"/>
      <c r="W13" s="361"/>
      <c r="X13" s="362"/>
      <c r="Y13" s="362"/>
      <c r="Z13" s="361"/>
      <c r="AA13" s="361"/>
      <c r="AB13" s="358"/>
      <c r="AC13" s="358"/>
      <c r="AD13" s="358"/>
      <c r="AE13" s="359"/>
      <c r="AF13" s="359"/>
      <c r="AG13" s="362"/>
      <c r="AH13" s="362"/>
      <c r="AI13" s="362"/>
      <c r="AJ13" s="362"/>
      <c r="AK13" s="358"/>
      <c r="AL13" s="380"/>
      <c r="AM13" s="354"/>
      <c r="AN13" s="359"/>
      <c r="AO13" s="358"/>
      <c r="AP13" s="358"/>
      <c r="AQ13" s="358"/>
      <c r="AR13" s="362"/>
      <c r="AS13" s="362"/>
      <c r="AT13" s="358"/>
      <c r="AU13" s="359"/>
      <c r="AV13" s="359"/>
      <c r="AW13" s="359"/>
      <c r="AX13" s="359"/>
      <c r="AY13" s="362"/>
      <c r="AZ13" s="361"/>
      <c r="BA13" s="361"/>
      <c r="BB13" s="361"/>
      <c r="BC13" s="362"/>
      <c r="BD13" s="362"/>
      <c r="BE13" s="358"/>
      <c r="BF13" s="358"/>
      <c r="BG13" s="358"/>
      <c r="BH13" s="358"/>
      <c r="BI13" s="362"/>
      <c r="BJ13" s="362"/>
      <c r="BK13" s="362"/>
      <c r="BL13" s="362"/>
      <c r="BM13" s="362"/>
      <c r="BN13" s="362"/>
      <c r="BO13" s="362"/>
      <c r="BP13" s="359"/>
      <c r="BQ13" s="356"/>
      <c r="BR13" s="360"/>
      <c r="BS13" s="361"/>
      <c r="BT13" s="361"/>
      <c r="BU13" s="361"/>
      <c r="BV13" s="362"/>
      <c r="BW13" s="362"/>
      <c r="BX13" s="358"/>
      <c r="BY13" s="362"/>
      <c r="BZ13" s="362"/>
      <c r="CA13" s="362"/>
      <c r="CB13" s="362"/>
      <c r="CC13" s="371"/>
      <c r="CD13" s="374"/>
      <c r="CE13" s="374"/>
      <c r="CF13" s="374"/>
      <c r="CG13" s="375"/>
      <c r="CH13" s="372"/>
      <c r="CI13" s="355"/>
      <c r="CJ13" s="361"/>
      <c r="CK13" s="358"/>
      <c r="CL13" s="358"/>
      <c r="CM13" s="358"/>
      <c r="CN13" s="359"/>
      <c r="CO13" s="359"/>
      <c r="CP13" s="362"/>
      <c r="CQ13" s="362"/>
      <c r="CR13" s="362"/>
      <c r="CS13" s="362"/>
      <c r="CT13" s="362"/>
      <c r="CU13" s="362"/>
      <c r="CV13" s="362"/>
      <c r="CW13" s="362"/>
      <c r="CX13" s="359"/>
      <c r="CY13" s="359"/>
      <c r="CZ13" s="359"/>
      <c r="DA13" s="358"/>
      <c r="DB13" s="359"/>
      <c r="DC13" s="359"/>
      <c r="DD13" s="359"/>
      <c r="DE13" s="359"/>
      <c r="DF13" s="359"/>
      <c r="DG13" s="359"/>
      <c r="DH13" s="359"/>
      <c r="DI13" s="359"/>
      <c r="DJ13" s="359"/>
      <c r="DK13" s="359"/>
      <c r="DL13" s="361"/>
      <c r="DM13" s="373"/>
      <c r="DN13" s="375"/>
      <c r="DO13" s="372"/>
      <c r="DP13" s="375"/>
      <c r="DQ13" s="375"/>
      <c r="DR13" s="379"/>
      <c r="DS13" s="379"/>
      <c r="DT13" s="379"/>
      <c r="DU13" s="379"/>
      <c r="DV13" s="379"/>
      <c r="DW13" s="374"/>
      <c r="DX13" s="374"/>
      <c r="DY13" s="374"/>
      <c r="DZ13" s="360"/>
      <c r="EA13" s="374"/>
      <c r="EB13" s="371"/>
      <c r="EC13" s="361"/>
      <c r="ED13" s="359"/>
      <c r="EE13" s="359"/>
      <c r="EF13" s="358"/>
      <c r="EG13" s="358"/>
      <c r="EH13" s="362"/>
      <c r="EI13" s="362"/>
      <c r="EJ13" s="362"/>
      <c r="EK13" s="362"/>
      <c r="EL13" s="359"/>
      <c r="EM13" s="359"/>
      <c r="EN13" s="359"/>
      <c r="EO13" s="362"/>
      <c r="EP13" s="362"/>
      <c r="EQ13" s="359"/>
      <c r="ER13" s="357"/>
      <c r="ES13" s="359"/>
      <c r="ET13" s="359"/>
      <c r="EU13" s="359"/>
      <c r="EV13" s="359"/>
      <c r="EW13" s="359"/>
      <c r="EX13" s="357"/>
      <c r="EY13" s="361"/>
      <c r="EZ13" s="361"/>
      <c r="FA13" s="362"/>
      <c r="FB13" s="362"/>
      <c r="FC13" s="362"/>
      <c r="FD13" s="362"/>
      <c r="FE13" s="359"/>
      <c r="FF13" s="358"/>
      <c r="FG13" s="358"/>
      <c r="FH13" s="357"/>
      <c r="FI13" s="359"/>
      <c r="FJ13" s="358"/>
      <c r="FK13" s="355"/>
      <c r="FL13" s="364"/>
      <c r="FM13" s="356"/>
      <c r="FN13" s="364"/>
      <c r="FO13" s="364"/>
      <c r="FP13" s="364"/>
      <c r="FQ13" s="360"/>
      <c r="FR13" s="360"/>
      <c r="FS13" s="364"/>
      <c r="FT13" s="364"/>
      <c r="FU13" s="364"/>
      <c r="FV13" s="363"/>
      <c r="FW13" s="363"/>
      <c r="FX13" s="378"/>
      <c r="FY13" s="378"/>
      <c r="FZ13" s="378"/>
      <c r="GA13" s="378"/>
      <c r="GB13" s="378"/>
      <c r="GC13" s="378"/>
      <c r="GD13" s="378"/>
      <c r="GE13" s="378"/>
      <c r="GF13" s="371"/>
      <c r="GG13" s="378"/>
      <c r="GH13" s="378"/>
      <c r="GI13" s="378"/>
      <c r="GJ13" s="371"/>
      <c r="GK13" s="371"/>
      <c r="GL13" s="378"/>
      <c r="GM13" s="378"/>
      <c r="GN13" s="371"/>
      <c r="GO13" s="378"/>
      <c r="GP13" s="355"/>
      <c r="GQ13" s="361"/>
      <c r="GR13" s="361"/>
    </row>
    <row r="14" spans="1:200" ht="13.5" customHeight="1" x14ac:dyDescent="0.2">
      <c r="A14" s="359" t="s">
        <v>259</v>
      </c>
      <c r="B14" s="359" t="s">
        <v>225</v>
      </c>
      <c r="C14" s="359"/>
      <c r="D14" s="359"/>
      <c r="E14" s="359"/>
      <c r="F14" s="359"/>
      <c r="G14" s="358"/>
      <c r="H14" s="358"/>
      <c r="I14" s="358"/>
      <c r="J14" s="358"/>
      <c r="K14" s="359"/>
      <c r="L14" s="359"/>
      <c r="M14" s="359"/>
      <c r="N14" s="362"/>
      <c r="O14" s="362"/>
      <c r="P14" s="361"/>
      <c r="Q14" s="361"/>
      <c r="R14" s="361"/>
      <c r="S14" s="361"/>
      <c r="T14" s="361"/>
      <c r="U14" s="361"/>
      <c r="V14" s="361"/>
      <c r="W14" s="362"/>
      <c r="X14" s="362"/>
      <c r="Y14" s="360"/>
      <c r="Z14" s="361"/>
      <c r="AA14" s="362"/>
      <c r="AB14" s="358"/>
      <c r="AC14" s="358"/>
      <c r="AD14" s="359"/>
      <c r="AE14" s="362"/>
      <c r="AF14" s="362"/>
      <c r="AG14" s="362"/>
      <c r="AH14" s="362"/>
      <c r="AI14" s="362"/>
      <c r="AJ14" s="362"/>
      <c r="AK14" s="358"/>
      <c r="AL14" s="354"/>
      <c r="AM14" s="354"/>
      <c r="AN14" s="359"/>
      <c r="AO14" s="358"/>
      <c r="AP14" s="358"/>
      <c r="AQ14" s="358"/>
      <c r="AR14" s="362"/>
      <c r="AS14" s="362"/>
      <c r="AT14" s="362"/>
      <c r="AU14" s="362"/>
      <c r="AV14" s="362"/>
      <c r="AW14" s="358"/>
      <c r="AX14" s="358"/>
      <c r="AY14" s="358"/>
      <c r="AZ14" s="359"/>
      <c r="BA14" s="359"/>
      <c r="BB14" s="359"/>
      <c r="BC14" s="359"/>
      <c r="BD14" s="362"/>
      <c r="BE14" s="358"/>
      <c r="BF14" s="359"/>
      <c r="BG14" s="359"/>
      <c r="BH14" s="359"/>
      <c r="BI14" s="359"/>
      <c r="BJ14" s="358"/>
      <c r="BK14" s="358"/>
      <c r="BL14" s="362"/>
      <c r="BM14" s="359"/>
      <c r="BN14" s="359"/>
      <c r="BO14" s="362"/>
      <c r="BP14" s="362"/>
      <c r="BQ14" s="362"/>
      <c r="BR14" s="362"/>
      <c r="BS14" s="358"/>
      <c r="BT14" s="359"/>
      <c r="BU14" s="359"/>
      <c r="BV14" s="359"/>
      <c r="BW14" s="358"/>
      <c r="BX14" s="358"/>
      <c r="BY14" s="362"/>
      <c r="BZ14" s="362"/>
      <c r="CA14" s="362"/>
      <c r="CB14" s="359"/>
      <c r="CC14" s="361"/>
      <c r="CD14" s="360"/>
      <c r="CE14" s="371"/>
      <c r="CF14" s="372"/>
      <c r="CG14" s="373"/>
      <c r="CH14" s="355"/>
      <c r="CI14" s="361"/>
      <c r="CJ14" s="359"/>
      <c r="CK14" s="359"/>
      <c r="CL14" s="359"/>
      <c r="CM14" s="359"/>
      <c r="CN14" s="359"/>
      <c r="CO14" s="358"/>
      <c r="CP14" s="362"/>
      <c r="CQ14" s="362"/>
      <c r="CR14" s="362"/>
      <c r="CS14" s="362"/>
      <c r="CT14" s="359"/>
      <c r="CU14" s="359"/>
      <c r="CV14" s="359"/>
      <c r="CW14" s="359"/>
      <c r="CX14" s="359"/>
      <c r="CY14" s="359"/>
      <c r="CZ14" s="358"/>
      <c r="DA14" s="362"/>
      <c r="DB14" s="359"/>
      <c r="DC14" s="359"/>
      <c r="DD14" s="359"/>
      <c r="DE14" s="359"/>
      <c r="DF14" s="359"/>
      <c r="DG14" s="359"/>
      <c r="DH14" s="359"/>
      <c r="DI14" s="359"/>
      <c r="DJ14" s="358"/>
      <c r="DK14" s="361"/>
      <c r="DL14" s="361"/>
      <c r="DM14" s="361"/>
      <c r="DN14" s="375"/>
      <c r="DO14" s="360"/>
      <c r="DP14" s="375"/>
      <c r="DQ14" s="374"/>
      <c r="DR14" s="379"/>
      <c r="DS14" s="379"/>
      <c r="DT14" s="374"/>
      <c r="DU14" s="368"/>
      <c r="DV14" s="379"/>
      <c r="DW14" s="379"/>
      <c r="DX14" s="374"/>
      <c r="DY14" s="374"/>
      <c r="DZ14" s="375"/>
      <c r="EA14" s="375"/>
      <c r="EB14" s="373"/>
      <c r="EC14" s="361"/>
      <c r="ED14" s="361"/>
      <c r="EE14" s="359"/>
      <c r="EF14" s="359"/>
      <c r="EG14" s="358"/>
      <c r="EH14" s="362"/>
      <c r="EI14" s="362"/>
      <c r="EJ14" s="362"/>
      <c r="EK14" s="359"/>
      <c r="EL14" s="359"/>
      <c r="EM14" s="359"/>
      <c r="EN14" s="362"/>
      <c r="EO14" s="362"/>
      <c r="EP14" s="359"/>
      <c r="EQ14" s="357"/>
      <c r="ER14" s="357"/>
      <c r="ES14" s="359"/>
      <c r="ET14" s="359"/>
      <c r="EU14" s="359"/>
      <c r="EV14" s="357"/>
      <c r="EW14" s="359"/>
      <c r="EX14" s="357"/>
      <c r="EY14" s="361"/>
      <c r="EZ14" s="362"/>
      <c r="FA14" s="362"/>
      <c r="FB14" s="359"/>
      <c r="FC14" s="359"/>
      <c r="FD14" s="358"/>
      <c r="FE14" s="358"/>
      <c r="FF14" s="358"/>
      <c r="FG14" s="359"/>
      <c r="FH14" s="359"/>
      <c r="FI14" s="359"/>
      <c r="FJ14" s="360"/>
      <c r="FK14" s="355"/>
      <c r="FL14" s="364"/>
      <c r="FM14" s="364"/>
      <c r="FN14" s="360"/>
      <c r="FO14" s="364"/>
      <c r="FP14" s="360"/>
      <c r="FQ14" s="364"/>
      <c r="FR14" s="363"/>
      <c r="FS14" s="363"/>
      <c r="FT14" s="356"/>
      <c r="FU14" s="363"/>
      <c r="FV14" s="378"/>
      <c r="FW14" s="378"/>
      <c r="FX14" s="378"/>
      <c r="FY14" s="378"/>
      <c r="FZ14" s="378"/>
      <c r="GA14" s="378"/>
      <c r="GB14" s="378"/>
      <c r="GC14" s="378"/>
      <c r="GD14" s="378"/>
      <c r="GE14" s="378"/>
      <c r="GF14" s="378"/>
      <c r="GG14" s="378"/>
      <c r="GH14" s="378"/>
      <c r="GI14" s="371"/>
      <c r="GJ14" s="371"/>
      <c r="GK14" s="371"/>
      <c r="GL14" s="371"/>
      <c r="GM14" s="378"/>
      <c r="GN14" s="378"/>
      <c r="GO14" s="378"/>
      <c r="GP14" s="364"/>
      <c r="GQ14" s="355"/>
      <c r="GR14" s="361"/>
    </row>
    <row r="15" spans="1:200" ht="13.5" customHeight="1" x14ac:dyDescent="0.2">
      <c r="A15" s="362" t="s">
        <v>245</v>
      </c>
      <c r="B15" s="362" t="s">
        <v>223</v>
      </c>
      <c r="C15" s="362"/>
      <c r="D15" s="359"/>
      <c r="E15" s="359"/>
      <c r="F15" s="359"/>
      <c r="G15" s="362"/>
      <c r="H15" s="362"/>
      <c r="I15" s="362"/>
      <c r="J15" s="362"/>
      <c r="K15" s="362"/>
      <c r="L15" s="361"/>
      <c r="M15" s="359"/>
      <c r="N15" s="358"/>
      <c r="O15" s="359"/>
      <c r="P15" s="359"/>
      <c r="Q15" s="361"/>
      <c r="R15" s="361"/>
      <c r="S15" s="361"/>
      <c r="T15" s="362"/>
      <c r="U15" s="362"/>
      <c r="V15" s="362"/>
      <c r="W15" s="362"/>
      <c r="X15" s="358"/>
      <c r="Y15" s="355"/>
      <c r="Z15" s="361"/>
      <c r="AA15" s="362"/>
      <c r="AB15" s="362"/>
      <c r="AC15" s="358"/>
      <c r="AD15" s="358"/>
      <c r="AE15" s="362"/>
      <c r="AF15" s="362"/>
      <c r="AG15" s="362"/>
      <c r="AH15" s="362"/>
      <c r="AI15" s="362"/>
      <c r="AJ15" s="362"/>
      <c r="AK15" s="381"/>
      <c r="AL15" s="354"/>
      <c r="AM15" s="380"/>
      <c r="AN15" s="357"/>
      <c r="AO15" s="362"/>
      <c r="AP15" s="362"/>
      <c r="AQ15" s="362"/>
      <c r="AR15" s="362"/>
      <c r="AS15" s="362"/>
      <c r="AT15" s="362"/>
      <c r="AU15" s="358"/>
      <c r="AV15" s="358"/>
      <c r="AW15" s="359"/>
      <c r="AX15" s="358"/>
      <c r="AY15" s="358"/>
      <c r="AZ15" s="358"/>
      <c r="BA15" s="359"/>
      <c r="BB15" s="359"/>
      <c r="BC15" s="359"/>
      <c r="BD15" s="359"/>
      <c r="BE15" s="359"/>
      <c r="BF15" s="359"/>
      <c r="BG15" s="359"/>
      <c r="BH15" s="359"/>
      <c r="BI15" s="362"/>
      <c r="BJ15" s="362"/>
      <c r="BK15" s="362"/>
      <c r="BL15" s="362"/>
      <c r="BM15" s="359"/>
      <c r="BN15" s="359"/>
      <c r="BO15" s="359"/>
      <c r="BP15" s="359"/>
      <c r="BQ15" s="359"/>
      <c r="BR15" s="359"/>
      <c r="BS15" s="359"/>
      <c r="BT15" s="359"/>
      <c r="BU15" s="359"/>
      <c r="BV15" s="359"/>
      <c r="BW15" s="359"/>
      <c r="BX15" s="359"/>
      <c r="BY15" s="359"/>
      <c r="BZ15" s="358"/>
      <c r="CA15" s="358"/>
      <c r="CB15" s="359"/>
      <c r="CC15" s="361"/>
      <c r="CD15" s="355"/>
      <c r="CE15" s="358"/>
      <c r="CF15" s="358"/>
      <c r="CG15" s="362"/>
      <c r="CH15" s="355"/>
      <c r="CI15" s="359"/>
      <c r="CJ15" s="359"/>
      <c r="CK15" s="359"/>
      <c r="CL15" s="358"/>
      <c r="CM15" s="358"/>
      <c r="CN15" s="362"/>
      <c r="CO15" s="362"/>
      <c r="CP15" s="362"/>
      <c r="CQ15" s="362"/>
      <c r="CR15" s="359"/>
      <c r="CS15" s="359"/>
      <c r="CT15" s="359"/>
      <c r="CU15" s="359"/>
      <c r="CV15" s="359"/>
      <c r="CW15" s="358"/>
      <c r="CX15" s="362"/>
      <c r="CY15" s="362"/>
      <c r="CZ15" s="362"/>
      <c r="DA15" s="359"/>
      <c r="DB15" s="359"/>
      <c r="DC15" s="359"/>
      <c r="DD15" s="359"/>
      <c r="DE15" s="359"/>
      <c r="DF15" s="359"/>
      <c r="DG15" s="359"/>
      <c r="DH15" s="359"/>
      <c r="DI15" s="358"/>
      <c r="DJ15" s="355"/>
      <c r="DK15" s="361"/>
      <c r="DL15" s="361"/>
      <c r="DM15" s="361"/>
      <c r="DN15" s="374"/>
      <c r="DO15" s="360"/>
      <c r="DP15" s="374"/>
      <c r="DQ15" s="374"/>
      <c r="DR15" s="379"/>
      <c r="DS15" s="379"/>
      <c r="DT15" s="374"/>
      <c r="DU15" s="379"/>
      <c r="DV15" s="379"/>
      <c r="DW15" s="379"/>
      <c r="DX15" s="382"/>
      <c r="DY15" s="374"/>
      <c r="DZ15" s="360"/>
      <c r="EA15" s="374"/>
      <c r="EB15" s="373"/>
      <c r="EC15" s="374"/>
      <c r="ED15" s="361"/>
      <c r="EE15" s="358"/>
      <c r="EF15" s="358"/>
      <c r="EG15" s="359"/>
      <c r="EH15" s="358"/>
      <c r="EI15" s="358"/>
      <c r="EJ15" s="359"/>
      <c r="EK15" s="359"/>
      <c r="EL15" s="359"/>
      <c r="EM15" s="359"/>
      <c r="EN15" s="362"/>
      <c r="EO15" s="362"/>
      <c r="EP15" s="359"/>
      <c r="EQ15" s="359"/>
      <c r="ER15" s="357"/>
      <c r="ES15" s="359"/>
      <c r="ET15" s="359"/>
      <c r="EU15" s="359"/>
      <c r="EV15" s="359"/>
      <c r="EW15" s="359"/>
      <c r="EX15" s="361"/>
      <c r="EY15" s="361"/>
      <c r="EZ15" s="362"/>
      <c r="FA15" s="362"/>
      <c r="FB15" s="359"/>
      <c r="FC15" s="359"/>
      <c r="FD15" s="362"/>
      <c r="FE15" s="362"/>
      <c r="FF15" s="359"/>
      <c r="FG15" s="358"/>
      <c r="FH15" s="358"/>
      <c r="FI15" s="370"/>
      <c r="FJ15" s="355"/>
      <c r="FK15" s="355"/>
      <c r="FL15" s="356"/>
      <c r="FM15" s="360"/>
      <c r="FN15" s="364"/>
      <c r="FO15" s="360"/>
      <c r="FP15" s="360"/>
      <c r="FQ15" s="363"/>
      <c r="FR15" s="363"/>
      <c r="FS15" s="363"/>
      <c r="FT15" s="356"/>
      <c r="FU15" s="378"/>
      <c r="FV15" s="378"/>
      <c r="FW15" s="378"/>
      <c r="FX15" s="378"/>
      <c r="FY15" s="378"/>
      <c r="FZ15" s="378"/>
      <c r="GA15" s="378"/>
      <c r="GB15" s="378"/>
      <c r="GC15" s="378"/>
      <c r="GD15" s="378"/>
      <c r="GE15" s="378"/>
      <c r="GF15" s="378"/>
      <c r="GG15" s="378"/>
      <c r="GH15" s="378"/>
      <c r="GI15" s="378"/>
      <c r="GJ15" s="371"/>
      <c r="GK15" s="371"/>
      <c r="GL15" s="378"/>
      <c r="GM15" s="371"/>
      <c r="GN15" s="378"/>
      <c r="GO15" s="378"/>
      <c r="GP15" s="371"/>
      <c r="GQ15" s="364"/>
      <c r="GR15" s="356"/>
    </row>
    <row r="16" spans="1:200" ht="13.5" customHeight="1" x14ac:dyDescent="0.2">
      <c r="A16" s="359" t="s">
        <v>287</v>
      </c>
      <c r="B16" s="359" t="s">
        <v>222</v>
      </c>
      <c r="C16" s="358"/>
      <c r="D16" s="359"/>
      <c r="E16" s="358"/>
      <c r="F16" s="358"/>
      <c r="G16" s="358"/>
      <c r="H16" s="362"/>
      <c r="I16" s="362"/>
      <c r="J16" s="362"/>
      <c r="K16" s="362"/>
      <c r="L16" s="362"/>
      <c r="M16" s="361"/>
      <c r="N16" s="359"/>
      <c r="O16" s="359"/>
      <c r="P16" s="358"/>
      <c r="Q16" s="355"/>
      <c r="R16" s="359"/>
      <c r="S16" s="359"/>
      <c r="T16" s="362"/>
      <c r="U16" s="362"/>
      <c r="V16" s="361"/>
      <c r="W16" s="361"/>
      <c r="X16" s="358"/>
      <c r="Y16" s="358"/>
      <c r="Z16" s="362"/>
      <c r="AA16" s="362"/>
      <c r="AB16" s="362"/>
      <c r="AC16" s="362"/>
      <c r="AD16" s="362"/>
      <c r="AE16" s="362"/>
      <c r="AF16" s="362"/>
      <c r="AG16" s="362"/>
      <c r="AH16" s="362"/>
      <c r="AI16" s="362"/>
      <c r="AJ16" s="357"/>
      <c r="AK16" s="381"/>
      <c r="AL16" s="381"/>
      <c r="AM16" s="354"/>
      <c r="AN16" s="369"/>
      <c r="AO16" s="359"/>
      <c r="AP16" s="359"/>
      <c r="AQ16" s="358"/>
      <c r="AR16" s="362"/>
      <c r="AS16" s="362"/>
      <c r="AT16" s="358"/>
      <c r="AU16" s="359"/>
      <c r="AV16" s="359"/>
      <c r="AW16" s="362"/>
      <c r="AX16" s="362"/>
      <c r="AY16" s="362"/>
      <c r="AZ16" s="362"/>
      <c r="BA16" s="362"/>
      <c r="BB16" s="362"/>
      <c r="BC16" s="362"/>
      <c r="BD16" s="361"/>
      <c r="BE16" s="361"/>
      <c r="BF16" s="362"/>
      <c r="BG16" s="362"/>
      <c r="BH16" s="362"/>
      <c r="BI16" s="361"/>
      <c r="BJ16" s="362"/>
      <c r="BK16" s="362"/>
      <c r="BL16" s="362"/>
      <c r="BM16" s="362"/>
      <c r="BN16" s="362"/>
      <c r="BO16" s="362"/>
      <c r="BP16" s="362"/>
      <c r="BQ16" s="359"/>
      <c r="BR16" s="359"/>
      <c r="BS16" s="359"/>
      <c r="BT16" s="359"/>
      <c r="BU16" s="359"/>
      <c r="BV16" s="359"/>
      <c r="BW16" s="359"/>
      <c r="BX16" s="359"/>
      <c r="BY16" s="359"/>
      <c r="BZ16" s="358"/>
      <c r="CA16" s="359"/>
      <c r="CB16" s="359"/>
      <c r="CC16" s="359"/>
      <c r="CD16" s="361"/>
      <c r="CE16" s="362"/>
      <c r="CF16" s="362"/>
      <c r="CG16" s="359"/>
      <c r="CH16" s="359"/>
      <c r="CI16" s="359"/>
      <c r="CJ16" s="359"/>
      <c r="CK16" s="359"/>
      <c r="CL16" s="359"/>
      <c r="CM16" s="359"/>
      <c r="CN16" s="358"/>
      <c r="CO16" s="358"/>
      <c r="CP16" s="358"/>
      <c r="CQ16" s="358"/>
      <c r="CR16" s="359"/>
      <c r="CS16" s="359"/>
      <c r="CT16" s="359"/>
      <c r="CU16" s="359"/>
      <c r="CV16" s="362"/>
      <c r="CW16" s="362"/>
      <c r="CX16" s="359"/>
      <c r="CY16" s="359"/>
      <c r="CZ16" s="359"/>
      <c r="DA16" s="359"/>
      <c r="DB16" s="359"/>
      <c r="DC16" s="359"/>
      <c r="DD16" s="359"/>
      <c r="DE16" s="359"/>
      <c r="DF16" s="359"/>
      <c r="DG16" s="359"/>
      <c r="DH16" s="359"/>
      <c r="DI16" s="359"/>
      <c r="DJ16" s="359"/>
      <c r="DK16" s="359"/>
      <c r="DL16" s="361"/>
      <c r="DM16" s="361"/>
      <c r="DN16" s="361"/>
      <c r="DO16" s="374"/>
      <c r="DP16" s="372"/>
      <c r="DQ16" s="374"/>
      <c r="DR16" s="379"/>
      <c r="DS16" s="379"/>
      <c r="DT16" s="379"/>
      <c r="DU16" s="379"/>
      <c r="DV16" s="379"/>
      <c r="DW16" s="374"/>
      <c r="DX16" s="374"/>
      <c r="DY16" s="374"/>
      <c r="DZ16" s="372"/>
      <c r="EA16" s="374"/>
      <c r="EB16" s="373"/>
      <c r="EC16" s="378"/>
      <c r="ED16" s="373"/>
      <c r="EE16" s="362"/>
      <c r="EF16" s="362"/>
      <c r="EG16" s="359"/>
      <c r="EH16" s="358"/>
      <c r="EI16" s="359"/>
      <c r="EJ16" s="357"/>
      <c r="EK16" s="359"/>
      <c r="EL16" s="359"/>
      <c r="EM16" s="359"/>
      <c r="EN16" s="362"/>
      <c r="EO16" s="359"/>
      <c r="EP16" s="359"/>
      <c r="EQ16" s="358"/>
      <c r="ER16" s="357"/>
      <c r="ES16" s="359"/>
      <c r="ET16" s="359"/>
      <c r="EU16" s="357"/>
      <c r="EV16" s="359"/>
      <c r="EW16" s="362"/>
      <c r="EX16" s="361"/>
      <c r="EY16" s="362"/>
      <c r="EZ16" s="362"/>
      <c r="FA16" s="361"/>
      <c r="FB16" s="359"/>
      <c r="FC16" s="362"/>
      <c r="FD16" s="362"/>
      <c r="FE16" s="362"/>
      <c r="FF16" s="362"/>
      <c r="FG16" s="361"/>
      <c r="FH16" s="358"/>
      <c r="FI16" s="364"/>
      <c r="FJ16" s="361"/>
      <c r="FK16" s="361"/>
      <c r="FL16" s="360"/>
      <c r="FM16" s="360"/>
      <c r="FN16" s="364"/>
      <c r="FO16" s="363"/>
      <c r="FP16" s="363"/>
      <c r="FQ16" s="363"/>
      <c r="FR16" s="363"/>
      <c r="FS16" s="356"/>
      <c r="FT16" s="378"/>
      <c r="FU16" s="378"/>
      <c r="FV16" s="378"/>
      <c r="FW16" s="378"/>
      <c r="FX16" s="378"/>
      <c r="FY16" s="378"/>
      <c r="FZ16" s="378"/>
      <c r="GA16" s="363"/>
      <c r="GB16" s="363"/>
      <c r="GC16" s="378"/>
      <c r="GD16" s="378"/>
      <c r="GE16" s="378"/>
      <c r="GF16" s="378"/>
      <c r="GG16" s="378"/>
      <c r="GH16" s="378"/>
      <c r="GI16" s="378"/>
      <c r="GJ16" s="378"/>
      <c r="GK16" s="371"/>
      <c r="GL16" s="371"/>
      <c r="GM16" s="364"/>
      <c r="GN16" s="378"/>
      <c r="GO16" s="371"/>
      <c r="GP16" s="378"/>
      <c r="GQ16" s="378"/>
      <c r="GR16" s="360"/>
    </row>
    <row r="17" spans="1:200" ht="13.5" customHeight="1" x14ac:dyDescent="0.2">
      <c r="A17" s="359" t="s">
        <v>288</v>
      </c>
      <c r="B17" s="359" t="s">
        <v>229</v>
      </c>
      <c r="C17" s="357"/>
      <c r="D17" s="357"/>
      <c r="E17" s="354"/>
      <c r="F17" s="359"/>
      <c r="G17" s="359"/>
      <c r="H17" s="359"/>
      <c r="I17" s="359"/>
      <c r="J17" s="359"/>
      <c r="K17" s="358"/>
      <c r="L17" s="358"/>
      <c r="M17" s="358"/>
      <c r="N17" s="359"/>
      <c r="O17" s="359"/>
      <c r="P17" s="359"/>
      <c r="Q17" s="359"/>
      <c r="R17" s="358"/>
      <c r="S17" s="358"/>
      <c r="T17" s="362"/>
      <c r="U17" s="361"/>
      <c r="V17" s="361"/>
      <c r="W17" s="361"/>
      <c r="X17" s="361"/>
      <c r="Y17" s="358"/>
      <c r="Z17" s="362"/>
      <c r="AA17" s="362"/>
      <c r="AB17" s="362"/>
      <c r="AC17" s="362"/>
      <c r="AD17" s="362"/>
      <c r="AE17" s="362"/>
      <c r="AF17" s="358"/>
      <c r="AG17" s="358"/>
      <c r="AH17" s="362"/>
      <c r="AI17" s="362"/>
      <c r="AJ17" s="358"/>
      <c r="AK17" s="381"/>
      <c r="AL17" s="354"/>
      <c r="AM17" s="354"/>
      <c r="AN17" s="369"/>
      <c r="AO17" s="359"/>
      <c r="AP17" s="358"/>
      <c r="AQ17" s="358"/>
      <c r="AR17" s="359"/>
      <c r="AS17" s="359"/>
      <c r="AT17" s="359"/>
      <c r="AU17" s="359"/>
      <c r="AV17" s="359"/>
      <c r="AW17" s="358"/>
      <c r="AX17" s="358"/>
      <c r="AY17" s="358"/>
      <c r="AZ17" s="358"/>
      <c r="BA17" s="358"/>
      <c r="BB17" s="362"/>
      <c r="BC17" s="362"/>
      <c r="BD17" s="362"/>
      <c r="BE17" s="362"/>
      <c r="BF17" s="359"/>
      <c r="BG17" s="359"/>
      <c r="BH17" s="358"/>
      <c r="BI17" s="358"/>
      <c r="BJ17" s="358"/>
      <c r="BK17" s="362"/>
      <c r="BL17" s="362"/>
      <c r="BM17" s="362"/>
      <c r="BN17" s="362"/>
      <c r="BO17" s="362"/>
      <c r="BP17" s="362"/>
      <c r="BQ17" s="358"/>
      <c r="BR17" s="359"/>
      <c r="BS17" s="359"/>
      <c r="BT17" s="359"/>
      <c r="BU17" s="359"/>
      <c r="BV17" s="362"/>
      <c r="BW17" s="362"/>
      <c r="BX17" s="362"/>
      <c r="BY17" s="362"/>
      <c r="BZ17" s="362"/>
      <c r="CA17" s="358"/>
      <c r="CB17" s="358"/>
      <c r="CC17" s="358"/>
      <c r="CD17" s="359"/>
      <c r="CE17" s="359"/>
      <c r="CF17" s="359"/>
      <c r="CG17" s="359"/>
      <c r="CH17" s="359"/>
      <c r="CI17" s="358"/>
      <c r="CJ17" s="359"/>
      <c r="CK17" s="359"/>
      <c r="CL17" s="359"/>
      <c r="CM17" s="358"/>
      <c r="CN17" s="358"/>
      <c r="CO17" s="358"/>
      <c r="CP17" s="358"/>
      <c r="CQ17" s="358"/>
      <c r="CR17" s="359"/>
      <c r="CS17" s="359"/>
      <c r="CT17" s="361"/>
      <c r="CU17" s="362"/>
      <c r="CV17" s="362"/>
      <c r="CW17" s="362"/>
      <c r="CX17" s="358"/>
      <c r="CY17" s="358"/>
      <c r="CZ17" s="359"/>
      <c r="DA17" s="357"/>
      <c r="DB17" s="359"/>
      <c r="DC17" s="359"/>
      <c r="DD17" s="359"/>
      <c r="DE17" s="359"/>
      <c r="DF17" s="358"/>
      <c r="DG17" s="358"/>
      <c r="DH17" s="359"/>
      <c r="DI17" s="359"/>
      <c r="DJ17" s="359"/>
      <c r="DK17" s="359"/>
      <c r="DL17" s="361"/>
      <c r="DM17" s="361"/>
      <c r="DN17" s="362"/>
      <c r="DO17" s="374"/>
      <c r="DP17" s="374"/>
      <c r="DQ17" s="374"/>
      <c r="DR17" s="374"/>
      <c r="DS17" s="379"/>
      <c r="DT17" s="379"/>
      <c r="DU17" s="379"/>
      <c r="DV17" s="374"/>
      <c r="DW17" s="374"/>
      <c r="DX17" s="374"/>
      <c r="DY17" s="374"/>
      <c r="DZ17" s="374"/>
      <c r="EA17" s="374"/>
      <c r="EB17" s="373"/>
      <c r="EC17" s="378"/>
      <c r="ED17" s="373"/>
      <c r="EE17" s="358"/>
      <c r="EF17" s="358"/>
      <c r="EG17" s="358"/>
      <c r="EH17" s="359"/>
      <c r="EI17" s="359"/>
      <c r="EJ17" s="359"/>
      <c r="EK17" s="359"/>
      <c r="EL17" s="359"/>
      <c r="EM17" s="358"/>
      <c r="EN17" s="358"/>
      <c r="EO17" s="359"/>
      <c r="EP17" s="362"/>
      <c r="EQ17" s="359"/>
      <c r="ER17" s="359"/>
      <c r="ES17" s="358"/>
      <c r="ET17" s="359"/>
      <c r="EU17" s="359"/>
      <c r="EV17" s="358"/>
      <c r="EW17" s="361"/>
      <c r="EX17" s="361"/>
      <c r="EY17" s="362"/>
      <c r="EZ17" s="362"/>
      <c r="FA17" s="359"/>
      <c r="FB17" s="359"/>
      <c r="FC17" s="362"/>
      <c r="FD17" s="362"/>
      <c r="FE17" s="362"/>
      <c r="FF17" s="361"/>
      <c r="FG17" s="358"/>
      <c r="FH17" s="359"/>
      <c r="FI17" s="361"/>
      <c r="FJ17" s="355"/>
      <c r="FK17" s="360"/>
      <c r="FL17" s="360"/>
      <c r="FM17" s="360"/>
      <c r="FN17" s="364"/>
      <c r="FO17" s="360"/>
      <c r="FP17" s="364"/>
      <c r="FQ17" s="356"/>
      <c r="FR17" s="363"/>
      <c r="FS17" s="378"/>
      <c r="FT17" s="378"/>
      <c r="FU17" s="378"/>
      <c r="FV17" s="378"/>
      <c r="FW17" s="378"/>
      <c r="FX17" s="378"/>
      <c r="FY17" s="378"/>
      <c r="FZ17" s="378"/>
      <c r="GA17" s="378"/>
      <c r="GB17" s="378"/>
      <c r="GC17" s="378"/>
      <c r="GD17" s="383"/>
      <c r="GE17" s="376"/>
      <c r="GF17" s="376"/>
      <c r="GG17" s="383"/>
      <c r="GH17" s="382"/>
      <c r="GI17" s="378"/>
      <c r="GJ17" s="378"/>
      <c r="GK17" s="378"/>
      <c r="GL17" s="378"/>
      <c r="GM17" s="371"/>
      <c r="GN17" s="371"/>
      <c r="GO17" s="364"/>
      <c r="GP17" s="364"/>
      <c r="GQ17" s="364"/>
      <c r="GR17" s="360"/>
    </row>
    <row r="18" spans="1:200" ht="13.5" customHeight="1" x14ac:dyDescent="0.2">
      <c r="A18" s="358" t="s">
        <v>289</v>
      </c>
      <c r="B18" s="355" t="s">
        <v>234</v>
      </c>
      <c r="C18" s="357"/>
      <c r="D18" s="357"/>
      <c r="E18" s="354"/>
      <c r="F18" s="354"/>
      <c r="G18" s="359"/>
      <c r="H18" s="358"/>
      <c r="I18" s="358"/>
      <c r="J18" s="359"/>
      <c r="K18" s="359"/>
      <c r="L18" s="358"/>
      <c r="M18" s="358"/>
      <c r="N18" s="358"/>
      <c r="O18" s="359"/>
      <c r="P18" s="359"/>
      <c r="Q18" s="359"/>
      <c r="R18" s="359"/>
      <c r="S18" s="362"/>
      <c r="T18" s="358"/>
      <c r="U18" s="359"/>
      <c r="V18" s="358"/>
      <c r="W18" s="358"/>
      <c r="X18" s="358"/>
      <c r="Y18" s="359"/>
      <c r="Z18" s="359"/>
      <c r="AA18" s="358"/>
      <c r="AB18" s="362"/>
      <c r="AC18" s="362"/>
      <c r="AD18" s="362"/>
      <c r="AE18" s="362"/>
      <c r="AF18" s="362"/>
      <c r="AG18" s="362"/>
      <c r="AH18" s="362"/>
      <c r="AI18" s="362"/>
      <c r="AJ18" s="359"/>
      <c r="AK18" s="381"/>
      <c r="AL18" s="354"/>
      <c r="AM18" s="369"/>
      <c r="AN18" s="365"/>
      <c r="AO18" s="359"/>
      <c r="AP18" s="359"/>
      <c r="AQ18" s="359"/>
      <c r="AR18" s="358"/>
      <c r="AS18" s="359"/>
      <c r="AT18" s="359"/>
      <c r="AU18" s="359"/>
      <c r="AV18" s="358"/>
      <c r="AW18" s="358"/>
      <c r="AX18" s="358"/>
      <c r="AY18" s="358"/>
      <c r="AZ18" s="362"/>
      <c r="BA18" s="362"/>
      <c r="BB18" s="362"/>
      <c r="BC18" s="359"/>
      <c r="BD18" s="359"/>
      <c r="BE18" s="359"/>
      <c r="BF18" s="359"/>
      <c r="BG18" s="359"/>
      <c r="BH18" s="362"/>
      <c r="BI18" s="362"/>
      <c r="BJ18" s="362"/>
      <c r="BK18" s="358"/>
      <c r="BL18" s="358"/>
      <c r="BM18" s="358"/>
      <c r="BN18" s="362"/>
      <c r="BO18" s="362"/>
      <c r="BP18" s="362"/>
      <c r="BQ18" s="362"/>
      <c r="BR18" s="362"/>
      <c r="BS18" s="362"/>
      <c r="BT18" s="359"/>
      <c r="BU18" s="358"/>
      <c r="BV18" s="362"/>
      <c r="BW18" s="362"/>
      <c r="BX18" s="362"/>
      <c r="BY18" s="362"/>
      <c r="BZ18" s="362"/>
      <c r="CA18" s="362"/>
      <c r="CB18" s="358"/>
      <c r="CC18" s="358"/>
      <c r="CD18" s="362"/>
      <c r="CE18" s="362"/>
      <c r="CF18" s="362"/>
      <c r="CG18" s="362"/>
      <c r="CH18" s="362"/>
      <c r="CI18" s="362"/>
      <c r="CJ18" s="358"/>
      <c r="CK18" s="359"/>
      <c r="CL18" s="359"/>
      <c r="CM18" s="359"/>
      <c r="CN18" s="358"/>
      <c r="CO18" s="358"/>
      <c r="CP18" s="359"/>
      <c r="CQ18" s="359"/>
      <c r="CR18" s="359"/>
      <c r="CS18" s="362"/>
      <c r="CT18" s="362"/>
      <c r="CU18" s="358"/>
      <c r="CV18" s="359"/>
      <c r="CW18" s="359"/>
      <c r="CX18" s="359"/>
      <c r="CY18" s="359"/>
      <c r="CZ18" s="359"/>
      <c r="DA18" s="359"/>
      <c r="DB18" s="359"/>
      <c r="DC18" s="359"/>
      <c r="DD18" s="359"/>
      <c r="DE18" s="359"/>
      <c r="DF18" s="359"/>
      <c r="DG18" s="359"/>
      <c r="DH18" s="359"/>
      <c r="DI18" s="359"/>
      <c r="DJ18" s="362"/>
      <c r="DK18" s="355"/>
      <c r="DL18" s="361"/>
      <c r="DM18" s="361"/>
      <c r="DN18" s="362"/>
      <c r="DO18" s="364"/>
      <c r="DP18" s="374"/>
      <c r="DQ18" s="360"/>
      <c r="DR18" s="374"/>
      <c r="DS18" s="374"/>
      <c r="DT18" s="374"/>
      <c r="DU18" s="374"/>
      <c r="DV18" s="374"/>
      <c r="DW18" s="374"/>
      <c r="DX18" s="360"/>
      <c r="DY18" s="374"/>
      <c r="DZ18" s="378"/>
      <c r="EA18" s="377"/>
      <c r="EB18" s="373"/>
      <c r="EC18" s="374"/>
      <c r="ED18" s="378"/>
      <c r="EE18" s="362"/>
      <c r="EF18" s="362"/>
      <c r="EG18" s="362"/>
      <c r="EH18" s="358"/>
      <c r="EI18" s="359"/>
      <c r="EJ18" s="359"/>
      <c r="EK18" s="358"/>
      <c r="EL18" s="359"/>
      <c r="EM18" s="359"/>
      <c r="EN18" s="358"/>
      <c r="EO18" s="359"/>
      <c r="EP18" s="362"/>
      <c r="EQ18" s="357"/>
      <c r="ER18" s="359"/>
      <c r="ES18" s="358"/>
      <c r="ET18" s="359"/>
      <c r="EU18" s="358"/>
      <c r="EV18" s="359"/>
      <c r="EW18" s="361"/>
      <c r="EX18" s="362"/>
      <c r="EY18" s="362"/>
      <c r="EZ18" s="362"/>
      <c r="FA18" s="359"/>
      <c r="FB18" s="362"/>
      <c r="FC18" s="361"/>
      <c r="FD18" s="362"/>
      <c r="FE18" s="361"/>
      <c r="FF18" s="360"/>
      <c r="FG18" s="355"/>
      <c r="FH18" s="361"/>
      <c r="FI18" s="361"/>
      <c r="FJ18" s="355"/>
      <c r="FK18" s="360"/>
      <c r="FL18" s="360"/>
      <c r="FM18" s="378"/>
      <c r="FN18" s="363"/>
      <c r="FO18" s="378"/>
      <c r="FP18" s="363"/>
      <c r="FQ18" s="363"/>
      <c r="FR18" s="378"/>
      <c r="FS18" s="378"/>
      <c r="FT18" s="378"/>
      <c r="FU18" s="378"/>
      <c r="FV18" s="378"/>
      <c r="FW18" s="378"/>
      <c r="FX18" s="378"/>
      <c r="FY18" s="378"/>
      <c r="FZ18" s="383"/>
      <c r="GA18" s="376"/>
      <c r="GB18" s="383"/>
      <c r="GC18" s="376"/>
      <c r="GD18" s="368"/>
      <c r="GE18" s="368"/>
      <c r="GF18" s="368"/>
      <c r="GG18" s="368"/>
      <c r="GH18" s="376"/>
      <c r="GI18" s="384"/>
      <c r="GJ18" s="378"/>
      <c r="GK18" s="382"/>
      <c r="GL18" s="378"/>
      <c r="GM18" s="378"/>
      <c r="GN18" s="378"/>
      <c r="GO18" s="378"/>
      <c r="GP18" s="364"/>
      <c r="GQ18" s="355"/>
      <c r="GR18" s="355"/>
    </row>
    <row r="19" spans="1:200" ht="13.5" customHeight="1" x14ac:dyDescent="0.2">
      <c r="A19" s="358" t="s">
        <v>290</v>
      </c>
      <c r="B19" s="358" t="s">
        <v>238</v>
      </c>
      <c r="C19" s="359"/>
      <c r="D19" s="359"/>
      <c r="E19" s="359"/>
      <c r="F19" s="359"/>
      <c r="G19" s="354"/>
      <c r="H19" s="359"/>
      <c r="I19" s="358"/>
      <c r="J19" s="362"/>
      <c r="K19" s="362"/>
      <c r="L19" s="359"/>
      <c r="M19" s="359"/>
      <c r="N19" s="362"/>
      <c r="O19" s="358"/>
      <c r="P19" s="359"/>
      <c r="Q19" s="359"/>
      <c r="R19" s="359"/>
      <c r="S19" s="358"/>
      <c r="T19" s="358"/>
      <c r="U19" s="358"/>
      <c r="V19" s="358"/>
      <c r="W19" s="358"/>
      <c r="X19" s="359"/>
      <c r="Y19" s="359"/>
      <c r="Z19" s="359"/>
      <c r="AA19" s="358"/>
      <c r="AB19" s="362"/>
      <c r="AC19" s="362"/>
      <c r="AD19" s="362"/>
      <c r="AE19" s="362"/>
      <c r="AF19" s="362"/>
      <c r="AG19" s="362"/>
      <c r="AH19" s="362"/>
      <c r="AI19" s="362"/>
      <c r="AJ19" s="359"/>
      <c r="AK19" s="381"/>
      <c r="AL19" s="354"/>
      <c r="AM19" s="380"/>
      <c r="AN19" s="359"/>
      <c r="AO19" s="362"/>
      <c r="AP19" s="362"/>
      <c r="AQ19" s="359"/>
      <c r="AR19" s="359"/>
      <c r="AS19" s="359"/>
      <c r="AT19" s="359"/>
      <c r="AU19" s="359"/>
      <c r="AV19" s="359"/>
      <c r="AW19" s="359"/>
      <c r="AX19" s="359"/>
      <c r="AY19" s="362"/>
      <c r="AZ19" s="362"/>
      <c r="BA19" s="362"/>
      <c r="BB19" s="362"/>
      <c r="BC19" s="362"/>
      <c r="BD19" s="362"/>
      <c r="BE19" s="362"/>
      <c r="BF19" s="362"/>
      <c r="BG19" s="362"/>
      <c r="BH19" s="362"/>
      <c r="BI19" s="359"/>
      <c r="BJ19" s="359"/>
      <c r="BK19" s="359"/>
      <c r="BL19" s="358"/>
      <c r="BM19" s="358"/>
      <c r="BN19" s="362"/>
      <c r="BO19" s="362"/>
      <c r="BP19" s="362"/>
      <c r="BQ19" s="362"/>
      <c r="BR19" s="362"/>
      <c r="BS19" s="362"/>
      <c r="BT19" s="358"/>
      <c r="BU19" s="358"/>
      <c r="BV19" s="358"/>
      <c r="BW19" s="362"/>
      <c r="BX19" s="362"/>
      <c r="BY19" s="362"/>
      <c r="BZ19" s="362"/>
      <c r="CA19" s="362"/>
      <c r="CB19" s="362"/>
      <c r="CC19" s="362"/>
      <c r="CD19" s="362"/>
      <c r="CE19" s="362"/>
      <c r="CF19" s="362"/>
      <c r="CG19" s="362"/>
      <c r="CH19" s="362"/>
      <c r="CI19" s="362"/>
      <c r="CJ19" s="362"/>
      <c r="CK19" s="359"/>
      <c r="CL19" s="359"/>
      <c r="CM19" s="359"/>
      <c r="CN19" s="359"/>
      <c r="CO19" s="359"/>
      <c r="CP19" s="359"/>
      <c r="CQ19" s="362"/>
      <c r="CR19" s="362"/>
      <c r="CS19" s="362"/>
      <c r="CT19" s="358"/>
      <c r="CU19" s="358"/>
      <c r="CV19" s="359"/>
      <c r="CW19" s="359"/>
      <c r="CX19" s="359"/>
      <c r="CY19" s="359"/>
      <c r="CZ19" s="359"/>
      <c r="DA19" s="359"/>
      <c r="DB19" s="359"/>
      <c r="DC19" s="359"/>
      <c r="DD19" s="357"/>
      <c r="DE19" s="359"/>
      <c r="DF19" s="359"/>
      <c r="DG19" s="358"/>
      <c r="DH19" s="358"/>
      <c r="DI19" s="358"/>
      <c r="DJ19" s="358"/>
      <c r="DK19" s="361"/>
      <c r="DL19" s="361"/>
      <c r="DM19" s="361"/>
      <c r="DN19" s="361"/>
      <c r="DO19" s="362"/>
      <c r="DP19" s="374"/>
      <c r="DQ19" s="374"/>
      <c r="DR19" s="360"/>
      <c r="DS19" s="374"/>
      <c r="DT19" s="374"/>
      <c r="DU19" s="360"/>
      <c r="DV19" s="360"/>
      <c r="DW19" s="360"/>
      <c r="DX19" s="374"/>
      <c r="DY19" s="378"/>
      <c r="DZ19" s="377"/>
      <c r="EA19" s="373"/>
      <c r="EB19" s="378"/>
      <c r="EC19" s="355"/>
      <c r="ED19" s="378"/>
      <c r="EE19" s="362"/>
      <c r="EF19" s="359"/>
      <c r="EG19" s="354"/>
      <c r="EH19" s="359"/>
      <c r="EI19" s="359"/>
      <c r="EJ19" s="359"/>
      <c r="EK19" s="357"/>
      <c r="EL19" s="362"/>
      <c r="EM19" s="358"/>
      <c r="EN19" s="359"/>
      <c r="EO19" s="357"/>
      <c r="EP19" s="362"/>
      <c r="EQ19" s="357"/>
      <c r="ER19" s="359"/>
      <c r="ES19" s="362"/>
      <c r="ET19" s="359"/>
      <c r="EU19" s="359"/>
      <c r="EV19" s="359"/>
      <c r="EW19" s="361"/>
      <c r="EX19" s="362"/>
      <c r="EY19" s="359"/>
      <c r="EZ19" s="362"/>
      <c r="FA19" s="359"/>
      <c r="FB19" s="361"/>
      <c r="FC19" s="361"/>
      <c r="FD19" s="362"/>
      <c r="FE19" s="361"/>
      <c r="FF19" s="361"/>
      <c r="FG19" s="355"/>
      <c r="FH19" s="360"/>
      <c r="FI19" s="361"/>
      <c r="FJ19" s="360"/>
      <c r="FK19" s="360"/>
      <c r="FL19" s="378"/>
      <c r="FM19" s="363"/>
      <c r="FN19" s="378"/>
      <c r="FO19" s="363"/>
      <c r="FP19" s="378"/>
      <c r="FQ19" s="378"/>
      <c r="FR19" s="374"/>
      <c r="FS19" s="378"/>
      <c r="FT19" s="378"/>
      <c r="FU19" s="378"/>
      <c r="FV19" s="378"/>
      <c r="FW19" s="378"/>
      <c r="FX19" s="378"/>
      <c r="FY19" s="376"/>
      <c r="FZ19" s="368"/>
      <c r="GA19" s="368"/>
      <c r="GB19" s="368"/>
      <c r="GC19" s="368"/>
      <c r="GD19" s="368"/>
      <c r="GE19" s="368"/>
      <c r="GF19" s="383"/>
      <c r="GG19" s="376"/>
      <c r="GH19" s="382"/>
      <c r="GI19" s="382"/>
      <c r="GJ19" s="384"/>
      <c r="GK19" s="382"/>
      <c r="GL19" s="382"/>
      <c r="GM19" s="378"/>
      <c r="GN19" s="371"/>
      <c r="GO19" s="378"/>
      <c r="GP19" s="378"/>
      <c r="GQ19" s="378"/>
      <c r="GR19" s="378"/>
    </row>
    <row r="20" spans="1:200" ht="13.5" customHeight="1" x14ac:dyDescent="0.2">
      <c r="A20" s="358" t="s">
        <v>291</v>
      </c>
      <c r="B20" s="355" t="s">
        <v>239</v>
      </c>
      <c r="C20" s="357"/>
      <c r="D20" s="359"/>
      <c r="E20" s="359"/>
      <c r="F20" s="359"/>
      <c r="G20" s="359"/>
      <c r="H20" s="354"/>
      <c r="I20" s="354"/>
      <c r="J20" s="358"/>
      <c r="K20" s="362"/>
      <c r="L20" s="362"/>
      <c r="M20" s="359"/>
      <c r="N20" s="358"/>
      <c r="O20" s="362"/>
      <c r="P20" s="358"/>
      <c r="Q20" s="358"/>
      <c r="R20" s="359"/>
      <c r="S20" s="359"/>
      <c r="T20" s="362"/>
      <c r="U20" s="362"/>
      <c r="V20" s="362"/>
      <c r="W20" s="362"/>
      <c r="X20" s="362"/>
      <c r="Y20" s="362"/>
      <c r="Z20" s="362"/>
      <c r="AA20" s="362"/>
      <c r="AB20" s="362"/>
      <c r="AC20" s="362"/>
      <c r="AD20" s="362"/>
      <c r="AE20" s="362"/>
      <c r="AF20" s="362"/>
      <c r="AG20" s="362"/>
      <c r="AH20" s="362"/>
      <c r="AI20" s="362"/>
      <c r="AJ20" s="359"/>
      <c r="AK20" s="380"/>
      <c r="AL20" s="354"/>
      <c r="AM20" s="380"/>
      <c r="AN20" s="359"/>
      <c r="AO20" s="362"/>
      <c r="AP20" s="362"/>
      <c r="AQ20" s="362"/>
      <c r="AR20" s="362"/>
      <c r="AS20" s="362"/>
      <c r="AT20" s="362"/>
      <c r="AU20" s="362"/>
      <c r="AV20" s="362"/>
      <c r="AW20" s="358"/>
      <c r="AX20" s="359"/>
      <c r="AY20" s="359"/>
      <c r="AZ20" s="358"/>
      <c r="BA20" s="362"/>
      <c r="BB20" s="362"/>
      <c r="BC20" s="362"/>
      <c r="BD20" s="362"/>
      <c r="BE20" s="362"/>
      <c r="BF20" s="358"/>
      <c r="BG20" s="358"/>
      <c r="BH20" s="358"/>
      <c r="BI20" s="362"/>
      <c r="BJ20" s="359"/>
      <c r="BK20" s="362"/>
      <c r="BL20" s="358"/>
      <c r="BM20" s="358"/>
      <c r="BN20" s="359"/>
      <c r="BO20" s="362"/>
      <c r="BP20" s="362"/>
      <c r="BQ20" s="362"/>
      <c r="BR20" s="358"/>
      <c r="BS20" s="362"/>
      <c r="BT20" s="362"/>
      <c r="BU20" s="362"/>
      <c r="BV20" s="362"/>
      <c r="BW20" s="362"/>
      <c r="BX20" s="362"/>
      <c r="BY20" s="362"/>
      <c r="BZ20" s="358"/>
      <c r="CA20" s="358"/>
      <c r="CB20" s="358"/>
      <c r="CC20" s="362"/>
      <c r="CD20" s="362"/>
      <c r="CE20" s="362"/>
      <c r="CF20" s="362"/>
      <c r="CG20" s="362"/>
      <c r="CH20" s="362"/>
      <c r="CI20" s="362"/>
      <c r="CJ20" s="362"/>
      <c r="CK20" s="358"/>
      <c r="CL20" s="359"/>
      <c r="CM20" s="359"/>
      <c r="CN20" s="358"/>
      <c r="CO20" s="358"/>
      <c r="CP20" s="362"/>
      <c r="CQ20" s="362"/>
      <c r="CR20" s="362"/>
      <c r="CS20" s="358"/>
      <c r="CT20" s="358"/>
      <c r="CU20" s="358"/>
      <c r="CV20" s="359"/>
      <c r="CW20" s="359"/>
      <c r="CX20" s="359"/>
      <c r="CY20" s="359"/>
      <c r="CZ20" s="359"/>
      <c r="DA20" s="359"/>
      <c r="DB20" s="359"/>
      <c r="DC20" s="359"/>
      <c r="DD20" s="359"/>
      <c r="DE20" s="359"/>
      <c r="DF20" s="358"/>
      <c r="DG20" s="358"/>
      <c r="DH20" s="358"/>
      <c r="DI20" s="359"/>
      <c r="DJ20" s="359"/>
      <c r="DK20" s="359"/>
      <c r="DL20" s="359"/>
      <c r="DM20" s="361"/>
      <c r="DN20" s="356"/>
      <c r="DO20" s="364"/>
      <c r="DP20" s="361"/>
      <c r="DQ20" s="361"/>
      <c r="DR20" s="374"/>
      <c r="DS20" s="374"/>
      <c r="DT20" s="374"/>
      <c r="DU20" s="374"/>
      <c r="DV20" s="374"/>
      <c r="DW20" s="374"/>
      <c r="DX20" s="374"/>
      <c r="DY20" s="373"/>
      <c r="DZ20" s="373"/>
      <c r="EA20" s="378"/>
      <c r="EB20" s="361"/>
      <c r="EC20" s="378"/>
      <c r="ED20" s="362"/>
      <c r="EE20" s="362"/>
      <c r="EF20" s="359"/>
      <c r="EG20" s="354"/>
      <c r="EH20" s="354"/>
      <c r="EI20" s="359"/>
      <c r="EJ20" s="359"/>
      <c r="EK20" s="357"/>
      <c r="EL20" s="359"/>
      <c r="EM20" s="358"/>
      <c r="EN20" s="362"/>
      <c r="EO20" s="359"/>
      <c r="EP20" s="359"/>
      <c r="EQ20" s="357"/>
      <c r="ER20" s="357"/>
      <c r="ES20" s="358"/>
      <c r="ET20" s="359"/>
      <c r="EU20" s="357"/>
      <c r="EV20" s="359"/>
      <c r="EW20" s="361"/>
      <c r="EX20" s="362"/>
      <c r="EY20" s="359"/>
      <c r="EZ20" s="362"/>
      <c r="FA20" s="359"/>
      <c r="FB20" s="361"/>
      <c r="FC20" s="361"/>
      <c r="FD20" s="361"/>
      <c r="FE20" s="361"/>
      <c r="FF20" s="362"/>
      <c r="FG20" s="364"/>
      <c r="FH20" s="355"/>
      <c r="FI20" s="360"/>
      <c r="FJ20" s="356"/>
      <c r="FK20" s="364"/>
      <c r="FL20" s="378"/>
      <c r="FM20" s="363"/>
      <c r="FN20" s="378"/>
      <c r="FO20" s="363"/>
      <c r="FP20" s="378"/>
      <c r="FQ20" s="374"/>
      <c r="FR20" s="374"/>
      <c r="FS20" s="378"/>
      <c r="FT20" s="378"/>
      <c r="FU20" s="378"/>
      <c r="FV20" s="378"/>
      <c r="FW20" s="378"/>
      <c r="FX20" s="376"/>
      <c r="FY20" s="368"/>
      <c r="FZ20" s="368"/>
      <c r="GA20" s="368"/>
      <c r="GB20" s="368"/>
      <c r="GC20" s="376"/>
      <c r="GD20" s="376"/>
      <c r="GE20" s="376"/>
      <c r="GF20" s="378"/>
      <c r="GG20" s="378"/>
      <c r="GH20" s="378"/>
      <c r="GI20" s="378"/>
      <c r="GJ20" s="378"/>
      <c r="GK20" s="378"/>
      <c r="GL20" s="378"/>
      <c r="GM20" s="378"/>
      <c r="GN20" s="378"/>
      <c r="GO20" s="373"/>
      <c r="GP20" s="378"/>
      <c r="GQ20" s="378"/>
      <c r="GR20" s="378"/>
    </row>
    <row r="21" spans="1:200" ht="13.5" customHeight="1" x14ac:dyDescent="0.2">
      <c r="A21" s="359" t="s">
        <v>292</v>
      </c>
      <c r="B21" s="358" t="s">
        <v>256</v>
      </c>
      <c r="C21" s="358"/>
      <c r="D21" s="359"/>
      <c r="E21" s="357"/>
      <c r="F21" s="357"/>
      <c r="G21" s="354"/>
      <c r="H21" s="359"/>
      <c r="I21" s="354"/>
      <c r="J21" s="359"/>
      <c r="K21" s="362"/>
      <c r="L21" s="362"/>
      <c r="M21" s="359"/>
      <c r="N21" s="358"/>
      <c r="O21" s="358"/>
      <c r="P21" s="362"/>
      <c r="Q21" s="358"/>
      <c r="R21" s="358"/>
      <c r="S21" s="359"/>
      <c r="T21" s="362"/>
      <c r="U21" s="362"/>
      <c r="V21" s="362"/>
      <c r="W21" s="362"/>
      <c r="X21" s="362"/>
      <c r="Y21" s="362"/>
      <c r="Z21" s="362"/>
      <c r="AA21" s="362"/>
      <c r="AB21" s="362"/>
      <c r="AC21" s="362"/>
      <c r="AD21" s="362"/>
      <c r="AE21" s="362"/>
      <c r="AF21" s="362"/>
      <c r="AG21" s="362"/>
      <c r="AH21" s="362"/>
      <c r="AI21" s="362"/>
      <c r="AJ21" s="359"/>
      <c r="AK21" s="354"/>
      <c r="AL21" s="354"/>
      <c r="AM21" s="380"/>
      <c r="AN21" s="357"/>
      <c r="AO21" s="362"/>
      <c r="AP21" s="362"/>
      <c r="AQ21" s="362"/>
      <c r="AR21" s="358"/>
      <c r="AS21" s="362"/>
      <c r="AT21" s="362"/>
      <c r="AU21" s="358"/>
      <c r="AV21" s="358"/>
      <c r="AW21" s="358"/>
      <c r="AX21" s="358"/>
      <c r="AY21" s="358"/>
      <c r="AZ21" s="358"/>
      <c r="BA21" s="358"/>
      <c r="BB21" s="362"/>
      <c r="BC21" s="358"/>
      <c r="BD21" s="362"/>
      <c r="BE21" s="358"/>
      <c r="BF21" s="358"/>
      <c r="BG21" s="359"/>
      <c r="BH21" s="358"/>
      <c r="BI21" s="358"/>
      <c r="BJ21" s="358"/>
      <c r="BK21" s="362"/>
      <c r="BL21" s="362"/>
      <c r="BM21" s="359"/>
      <c r="BN21" s="359"/>
      <c r="BO21" s="359"/>
      <c r="BP21" s="362"/>
      <c r="BQ21" s="362"/>
      <c r="BR21" s="362"/>
      <c r="BS21" s="362"/>
      <c r="BT21" s="362"/>
      <c r="BU21" s="362"/>
      <c r="BV21" s="362"/>
      <c r="BW21" s="362"/>
      <c r="BX21" s="358"/>
      <c r="BY21" s="359"/>
      <c r="BZ21" s="357"/>
      <c r="CA21" s="359"/>
      <c r="CB21" s="359"/>
      <c r="CC21" s="359"/>
      <c r="CD21" s="359"/>
      <c r="CE21" s="359"/>
      <c r="CF21" s="359"/>
      <c r="CG21" s="358"/>
      <c r="CH21" s="358"/>
      <c r="CI21" s="362"/>
      <c r="CJ21" s="362"/>
      <c r="CK21" s="358"/>
      <c r="CL21" s="362"/>
      <c r="CM21" s="362"/>
      <c r="CN21" s="362"/>
      <c r="CO21" s="362"/>
      <c r="CP21" s="362"/>
      <c r="CQ21" s="358"/>
      <c r="CR21" s="358"/>
      <c r="CS21" s="359"/>
      <c r="CT21" s="358"/>
      <c r="CU21" s="358"/>
      <c r="CV21" s="359"/>
      <c r="CW21" s="359"/>
      <c r="CX21" s="358"/>
      <c r="CY21" s="358"/>
      <c r="CZ21" s="358"/>
      <c r="DA21" s="358"/>
      <c r="DB21" s="358"/>
      <c r="DC21" s="358"/>
      <c r="DD21" s="358"/>
      <c r="DE21" s="359"/>
      <c r="DF21" s="359"/>
      <c r="DG21" s="358"/>
      <c r="DH21" s="358"/>
      <c r="DI21" s="362"/>
      <c r="DJ21" s="362"/>
      <c r="DK21" s="358"/>
      <c r="DL21" s="358"/>
      <c r="DM21" s="359"/>
      <c r="DN21" s="361"/>
      <c r="DO21" s="361"/>
      <c r="DP21" s="361"/>
      <c r="DQ21" s="361"/>
      <c r="DR21" s="361"/>
      <c r="DS21" s="361"/>
      <c r="DT21" s="361"/>
      <c r="DU21" s="361"/>
      <c r="DV21" s="374"/>
      <c r="DW21" s="374"/>
      <c r="DX21" s="361"/>
      <c r="DY21" s="362"/>
      <c r="DZ21" s="378"/>
      <c r="EA21" s="361"/>
      <c r="EB21" s="362"/>
      <c r="EC21" s="362"/>
      <c r="ED21" s="362"/>
      <c r="EE21" s="362"/>
      <c r="EF21" s="362"/>
      <c r="EG21" s="358"/>
      <c r="EH21" s="354"/>
      <c r="EI21" s="354"/>
      <c r="EJ21" s="359"/>
      <c r="EK21" s="359"/>
      <c r="EL21" s="359"/>
      <c r="EM21" s="359"/>
      <c r="EN21" s="359"/>
      <c r="EO21" s="358"/>
      <c r="EP21" s="359"/>
      <c r="EQ21" s="357"/>
      <c r="ER21" s="357"/>
      <c r="ES21" s="358"/>
      <c r="ET21" s="359"/>
      <c r="EU21" s="357"/>
      <c r="EV21" s="362"/>
      <c r="EW21" s="362"/>
      <c r="EX21" s="358"/>
      <c r="EY21" s="362"/>
      <c r="EZ21" s="359"/>
      <c r="FA21" s="361"/>
      <c r="FB21" s="361"/>
      <c r="FC21" s="361"/>
      <c r="FD21" s="361"/>
      <c r="FE21" s="361"/>
      <c r="FF21" s="361"/>
      <c r="FG21" s="360"/>
      <c r="FH21" s="360"/>
      <c r="FI21" s="364"/>
      <c r="FJ21" s="356"/>
      <c r="FK21" s="364"/>
      <c r="FL21" s="356"/>
      <c r="FM21" s="378"/>
      <c r="FN21" s="378"/>
      <c r="FO21" s="378"/>
      <c r="FP21" s="374"/>
      <c r="FQ21" s="374"/>
      <c r="FR21" s="378"/>
      <c r="FS21" s="378"/>
      <c r="FT21" s="378"/>
      <c r="FU21" s="378"/>
      <c r="FV21" s="378"/>
      <c r="FW21" s="376"/>
      <c r="FX21" s="368"/>
      <c r="FY21" s="368"/>
      <c r="FZ21" s="368"/>
      <c r="GA21" s="368"/>
      <c r="GB21" s="376"/>
      <c r="GC21" s="378"/>
      <c r="GD21" s="378"/>
      <c r="GE21" s="378"/>
      <c r="GF21" s="378"/>
      <c r="GG21" s="384"/>
      <c r="GH21" s="378"/>
      <c r="GI21" s="378"/>
      <c r="GJ21" s="382"/>
      <c r="GK21" s="378"/>
      <c r="GL21" s="384"/>
      <c r="GM21" s="378"/>
      <c r="GN21" s="378"/>
      <c r="GO21" s="378"/>
      <c r="GP21" s="373"/>
      <c r="GQ21" s="378"/>
      <c r="GR21" s="378"/>
    </row>
    <row r="22" spans="1:200" ht="13.5" customHeight="1" x14ac:dyDescent="0.2">
      <c r="A22" s="362" t="s">
        <v>286</v>
      </c>
      <c r="B22" s="358" t="s">
        <v>255</v>
      </c>
      <c r="C22" s="359"/>
      <c r="D22" s="359"/>
      <c r="E22" s="359"/>
      <c r="F22" s="357"/>
      <c r="G22" s="359"/>
      <c r="H22" s="359"/>
      <c r="I22" s="359"/>
      <c r="J22" s="357"/>
      <c r="K22" s="362"/>
      <c r="L22" s="362"/>
      <c r="M22" s="358"/>
      <c r="N22" s="358"/>
      <c r="O22" s="358"/>
      <c r="P22" s="362"/>
      <c r="Q22" s="358"/>
      <c r="R22" s="358"/>
      <c r="S22" s="358"/>
      <c r="T22" s="358"/>
      <c r="U22" s="362"/>
      <c r="V22" s="362"/>
      <c r="W22" s="358"/>
      <c r="X22" s="362"/>
      <c r="Y22" s="362"/>
      <c r="Z22" s="362"/>
      <c r="AA22" s="362"/>
      <c r="AB22" s="362"/>
      <c r="AC22" s="362"/>
      <c r="AD22" s="362"/>
      <c r="AE22" s="362"/>
      <c r="AF22" s="362"/>
      <c r="AG22" s="362"/>
      <c r="AH22" s="362"/>
      <c r="AI22" s="362"/>
      <c r="AJ22" s="380"/>
      <c r="AK22" s="354"/>
      <c r="AL22" s="380"/>
      <c r="AM22" s="380"/>
      <c r="AN22" s="357"/>
      <c r="AO22" s="362"/>
      <c r="AP22" s="362"/>
      <c r="AQ22" s="355"/>
      <c r="AR22" s="364"/>
      <c r="AS22" s="363"/>
      <c r="AT22" s="360"/>
      <c r="AU22" s="363"/>
      <c r="AV22" s="356"/>
      <c r="AW22" s="364"/>
      <c r="AX22" s="359"/>
      <c r="AY22" s="358"/>
      <c r="AZ22" s="359"/>
      <c r="BA22" s="359"/>
      <c r="BB22" s="358"/>
      <c r="BC22" s="358"/>
      <c r="BD22" s="362"/>
      <c r="BE22" s="362"/>
      <c r="BF22" s="359"/>
      <c r="BG22" s="358"/>
      <c r="BH22" s="359"/>
      <c r="BI22" s="359"/>
      <c r="BJ22" s="358"/>
      <c r="BK22" s="359"/>
      <c r="BL22" s="359"/>
      <c r="BM22" s="359"/>
      <c r="BN22" s="358"/>
      <c r="BO22" s="358"/>
      <c r="BP22" s="358"/>
      <c r="BQ22" s="362"/>
      <c r="BR22" s="362"/>
      <c r="BS22" s="362"/>
      <c r="BT22" s="362"/>
      <c r="BU22" s="362"/>
      <c r="BV22" s="359"/>
      <c r="BW22" s="359"/>
      <c r="BX22" s="359"/>
      <c r="BY22" s="359"/>
      <c r="BZ22" s="358"/>
      <c r="CA22" s="359"/>
      <c r="CB22" s="359"/>
      <c r="CC22" s="357"/>
      <c r="CD22" s="357"/>
      <c r="CE22" s="357"/>
      <c r="CF22" s="359"/>
      <c r="CG22" s="357"/>
      <c r="CH22" s="359"/>
      <c r="CI22" s="362"/>
      <c r="CJ22" s="362"/>
      <c r="CK22" s="362"/>
      <c r="CL22" s="362"/>
      <c r="CM22" s="362"/>
      <c r="CN22" s="362"/>
      <c r="CO22" s="362"/>
      <c r="CP22" s="362"/>
      <c r="CQ22" s="362"/>
      <c r="CR22" s="355"/>
      <c r="CS22" s="355"/>
      <c r="CT22" s="362"/>
      <c r="CU22" s="362"/>
      <c r="CV22" s="358"/>
      <c r="CW22" s="359"/>
      <c r="CX22" s="359"/>
      <c r="CY22" s="359"/>
      <c r="CZ22" s="359"/>
      <c r="DA22" s="359"/>
      <c r="DB22" s="362"/>
      <c r="DC22" s="362"/>
      <c r="DD22" s="359"/>
      <c r="DE22" s="358"/>
      <c r="DF22" s="358"/>
      <c r="DG22" s="358"/>
      <c r="DH22" s="359"/>
      <c r="DI22" s="359"/>
      <c r="DJ22" s="359"/>
      <c r="DK22" s="359"/>
      <c r="DL22" s="358"/>
      <c r="DM22" s="359"/>
      <c r="DN22" s="359"/>
      <c r="DO22" s="361"/>
      <c r="DP22" s="361"/>
      <c r="DQ22" s="361"/>
      <c r="DR22" s="361"/>
      <c r="DS22" s="359"/>
      <c r="DT22" s="359"/>
      <c r="DU22" s="361"/>
      <c r="DV22" s="361"/>
      <c r="DW22" s="361"/>
      <c r="DX22" s="362"/>
      <c r="DY22" s="362"/>
      <c r="DZ22" s="358"/>
      <c r="EA22" s="362"/>
      <c r="EB22" s="362"/>
      <c r="EC22" s="362"/>
      <c r="ED22" s="359"/>
      <c r="EE22" s="362"/>
      <c r="EF22" s="362"/>
      <c r="EG22" s="362"/>
      <c r="EH22" s="358"/>
      <c r="EI22" s="359"/>
      <c r="EJ22" s="359"/>
      <c r="EK22" s="359"/>
      <c r="EL22" s="357"/>
      <c r="EM22" s="359"/>
      <c r="EN22" s="359"/>
      <c r="EO22" s="362"/>
      <c r="EP22" s="358"/>
      <c r="EQ22" s="359"/>
      <c r="ER22" s="359"/>
      <c r="ES22" s="359"/>
      <c r="ET22" s="359"/>
      <c r="EU22" s="359"/>
      <c r="EV22" s="362"/>
      <c r="EW22" s="362"/>
      <c r="EX22" s="358"/>
      <c r="EY22" s="362"/>
      <c r="EZ22" s="359"/>
      <c r="FA22" s="362"/>
      <c r="FB22" s="361"/>
      <c r="FC22" s="361"/>
      <c r="FD22" s="361"/>
      <c r="FE22" s="361"/>
      <c r="FF22" s="370"/>
      <c r="FG22" s="355"/>
      <c r="FH22" s="361"/>
      <c r="FI22" s="355"/>
      <c r="FJ22" s="364"/>
      <c r="FK22" s="364"/>
      <c r="FL22" s="356"/>
      <c r="FM22" s="378"/>
      <c r="FN22" s="378"/>
      <c r="FO22" s="378"/>
      <c r="FP22" s="374"/>
      <c r="FQ22" s="378"/>
      <c r="FR22" s="378"/>
      <c r="FS22" s="378"/>
      <c r="FT22" s="378"/>
      <c r="FU22" s="378"/>
      <c r="FV22" s="376"/>
      <c r="FW22" s="368"/>
      <c r="FX22" s="368"/>
      <c r="FY22" s="368"/>
      <c r="FZ22" s="368"/>
      <c r="GA22" s="376"/>
      <c r="GB22" s="378"/>
      <c r="GC22" s="378"/>
      <c r="GD22" s="378"/>
      <c r="GE22" s="378"/>
      <c r="GF22" s="384"/>
      <c r="GG22" s="378"/>
      <c r="GH22" s="378"/>
      <c r="GI22" s="378"/>
      <c r="GJ22" s="378"/>
      <c r="GK22" s="378"/>
      <c r="GL22" s="378"/>
      <c r="GM22" s="384"/>
      <c r="GN22" s="378"/>
      <c r="GO22" s="378"/>
      <c r="GP22" s="378"/>
      <c r="GQ22" s="385"/>
      <c r="GR22" s="378"/>
    </row>
    <row r="23" spans="1:200" ht="13.5" customHeight="1" x14ac:dyDescent="0.2">
      <c r="A23" s="361" t="s">
        <v>293</v>
      </c>
      <c r="B23" s="362" t="s">
        <v>254</v>
      </c>
      <c r="C23" s="359"/>
      <c r="D23" s="359"/>
      <c r="E23" s="359"/>
      <c r="F23" s="354"/>
      <c r="G23" s="357"/>
      <c r="H23" s="358"/>
      <c r="I23" s="359"/>
      <c r="J23" s="359"/>
      <c r="K23" s="362"/>
      <c r="L23" s="362"/>
      <c r="M23" s="362"/>
      <c r="N23" s="362"/>
      <c r="O23" s="362"/>
      <c r="P23" s="362"/>
      <c r="Q23" s="362"/>
      <c r="R23" s="362"/>
      <c r="S23" s="358"/>
      <c r="T23" s="358"/>
      <c r="U23" s="358"/>
      <c r="V23" s="362"/>
      <c r="W23" s="362"/>
      <c r="X23" s="362"/>
      <c r="Y23" s="362"/>
      <c r="Z23" s="358"/>
      <c r="AA23" s="358"/>
      <c r="AB23" s="362"/>
      <c r="AC23" s="362"/>
      <c r="AD23" s="362"/>
      <c r="AE23" s="362"/>
      <c r="AF23" s="358"/>
      <c r="AG23" s="362"/>
      <c r="AH23" s="362"/>
      <c r="AI23" s="362"/>
      <c r="AJ23" s="357"/>
      <c r="AK23" s="354"/>
      <c r="AL23" s="354"/>
      <c r="AM23" s="380"/>
      <c r="AN23" s="358"/>
      <c r="AO23" s="361"/>
      <c r="AP23" s="361"/>
      <c r="AQ23" s="355"/>
      <c r="AR23" s="356"/>
      <c r="AS23" s="363"/>
      <c r="AT23" s="363"/>
      <c r="AU23" s="363"/>
      <c r="AV23" s="363"/>
      <c r="AW23" s="356"/>
      <c r="AX23" s="356"/>
      <c r="AY23" s="356"/>
      <c r="AZ23" s="385"/>
      <c r="BA23" s="359"/>
      <c r="BB23" s="358"/>
      <c r="BC23" s="358"/>
      <c r="BD23" s="358"/>
      <c r="BE23" s="358"/>
      <c r="BF23" s="359"/>
      <c r="BG23" s="359"/>
      <c r="BH23" s="359"/>
      <c r="BI23" s="359"/>
      <c r="BJ23" s="362"/>
      <c r="BK23" s="362"/>
      <c r="BL23" s="362"/>
      <c r="BM23" s="362"/>
      <c r="BN23" s="358"/>
      <c r="BO23" s="358"/>
      <c r="BP23" s="358"/>
      <c r="BQ23" s="358"/>
      <c r="BR23" s="358"/>
      <c r="BS23" s="359"/>
      <c r="BT23" s="359"/>
      <c r="BU23" s="359"/>
      <c r="BV23" s="359"/>
      <c r="BW23" s="359"/>
      <c r="BX23" s="362"/>
      <c r="BY23" s="358"/>
      <c r="BZ23" s="358"/>
      <c r="CA23" s="362"/>
      <c r="CB23" s="362"/>
      <c r="CC23" s="362"/>
      <c r="CD23" s="361"/>
      <c r="CE23" s="362"/>
      <c r="CF23" s="362"/>
      <c r="CG23" s="359"/>
      <c r="CH23" s="359"/>
      <c r="CI23" s="359"/>
      <c r="CJ23" s="359"/>
      <c r="CK23" s="359"/>
      <c r="CL23" s="359"/>
      <c r="CM23" s="359"/>
      <c r="CN23" s="359"/>
      <c r="CO23" s="359"/>
      <c r="CP23" s="359"/>
      <c r="CQ23" s="362"/>
      <c r="CR23" s="362"/>
      <c r="CS23" s="359"/>
      <c r="CT23" s="358"/>
      <c r="CU23" s="359"/>
      <c r="CV23" s="359"/>
      <c r="CW23" s="359"/>
      <c r="CX23" s="359"/>
      <c r="CY23" s="359"/>
      <c r="CZ23" s="359"/>
      <c r="DA23" s="359"/>
      <c r="DB23" s="362"/>
      <c r="DC23" s="362"/>
      <c r="DD23" s="362"/>
      <c r="DE23" s="358"/>
      <c r="DF23" s="358"/>
      <c r="DG23" s="359"/>
      <c r="DH23" s="359"/>
      <c r="DI23" s="358"/>
      <c r="DJ23" s="359"/>
      <c r="DK23" s="359"/>
      <c r="DL23" s="359"/>
      <c r="DM23" s="359"/>
      <c r="DN23" s="359"/>
      <c r="DO23" s="359"/>
      <c r="DP23" s="361"/>
      <c r="DQ23" s="361"/>
      <c r="DR23" s="361"/>
      <c r="DS23" s="362"/>
      <c r="DT23" s="361"/>
      <c r="DU23" s="361"/>
      <c r="DV23" s="358"/>
      <c r="DW23" s="361"/>
      <c r="DX23" s="362"/>
      <c r="DY23" s="362"/>
      <c r="DZ23" s="362"/>
      <c r="EA23" s="362"/>
      <c r="EB23" s="362"/>
      <c r="EC23" s="362"/>
      <c r="ED23" s="358"/>
      <c r="EE23" s="358"/>
      <c r="EF23" s="359"/>
      <c r="EG23" s="358"/>
      <c r="EH23" s="358"/>
      <c r="EI23" s="358"/>
      <c r="EJ23" s="362"/>
      <c r="EK23" s="358"/>
      <c r="EL23" s="359"/>
      <c r="EM23" s="359"/>
      <c r="EN23" s="359"/>
      <c r="EO23" s="359"/>
      <c r="EP23" s="359"/>
      <c r="EQ23" s="359"/>
      <c r="ER23" s="359"/>
      <c r="ES23" s="359"/>
      <c r="ET23" s="359"/>
      <c r="EU23" s="359"/>
      <c r="EV23" s="362"/>
      <c r="EW23" s="362"/>
      <c r="EX23" s="358"/>
      <c r="EY23" s="362"/>
      <c r="EZ23" s="359"/>
      <c r="FA23" s="362"/>
      <c r="FB23" s="362"/>
      <c r="FC23" s="362"/>
      <c r="FD23" s="361"/>
      <c r="FE23" s="361"/>
      <c r="FF23" s="355"/>
      <c r="FG23" s="356"/>
      <c r="FH23" s="355"/>
      <c r="FI23" s="355"/>
      <c r="FJ23" s="364"/>
      <c r="FK23" s="360"/>
      <c r="FL23" s="356"/>
      <c r="FM23" s="378"/>
      <c r="FN23" s="378"/>
      <c r="FO23" s="378"/>
      <c r="FP23" s="374"/>
      <c r="FQ23" s="378"/>
      <c r="FR23" s="378"/>
      <c r="FS23" s="378"/>
      <c r="FT23" s="378"/>
      <c r="FU23" s="376"/>
      <c r="FV23" s="368"/>
      <c r="FW23" s="368"/>
      <c r="FX23" s="368"/>
      <c r="FY23" s="368"/>
      <c r="FZ23" s="368"/>
      <c r="GA23" s="376"/>
      <c r="GB23" s="378"/>
      <c r="GC23" s="384"/>
      <c r="GD23" s="378"/>
      <c r="GE23" s="378"/>
      <c r="GF23" s="382"/>
      <c r="GG23" s="378"/>
      <c r="GH23" s="378"/>
      <c r="GI23" s="378"/>
      <c r="GJ23" s="378"/>
      <c r="GK23" s="378"/>
      <c r="GL23" s="378"/>
      <c r="GM23" s="378"/>
      <c r="GN23" s="378"/>
      <c r="GO23" s="378"/>
      <c r="GP23" s="378"/>
      <c r="GQ23" s="382"/>
      <c r="GR23" s="378"/>
    </row>
    <row r="24" spans="1:200" ht="13.5" customHeight="1" x14ac:dyDescent="0.2">
      <c r="A24" s="355" t="s">
        <v>294</v>
      </c>
      <c r="B24" s="361" t="s">
        <v>235</v>
      </c>
      <c r="C24" s="362"/>
      <c r="D24" s="359"/>
      <c r="E24" s="359"/>
      <c r="F24" s="359"/>
      <c r="G24" s="357"/>
      <c r="H24" s="359"/>
      <c r="I24" s="359"/>
      <c r="J24" s="359"/>
      <c r="K24" s="362"/>
      <c r="L24" s="362"/>
      <c r="M24" s="362"/>
      <c r="N24" s="362"/>
      <c r="O24" s="362"/>
      <c r="P24" s="362"/>
      <c r="Q24" s="362"/>
      <c r="R24" s="362"/>
      <c r="S24" s="362"/>
      <c r="T24" s="358"/>
      <c r="U24" s="358"/>
      <c r="V24" s="362"/>
      <c r="W24" s="362"/>
      <c r="X24" s="358"/>
      <c r="Y24" s="358"/>
      <c r="Z24" s="358"/>
      <c r="AA24" s="362"/>
      <c r="AB24" s="359"/>
      <c r="AC24" s="359"/>
      <c r="AD24" s="358"/>
      <c r="AE24" s="362"/>
      <c r="AF24" s="362"/>
      <c r="AG24" s="362"/>
      <c r="AH24" s="362"/>
      <c r="AI24" s="362"/>
      <c r="AJ24" s="357"/>
      <c r="AK24" s="354"/>
      <c r="AL24" s="380"/>
      <c r="AM24" s="380"/>
      <c r="AN24" s="358"/>
      <c r="AO24" s="355"/>
      <c r="AP24" s="356"/>
      <c r="AQ24" s="363"/>
      <c r="AR24" s="363"/>
      <c r="AS24" s="363"/>
      <c r="AT24" s="363"/>
      <c r="AU24" s="363"/>
      <c r="AV24" s="363"/>
      <c r="AW24" s="363"/>
      <c r="AX24" s="356"/>
      <c r="AY24" s="363"/>
      <c r="AZ24" s="356"/>
      <c r="BA24" s="359"/>
      <c r="BB24" s="359"/>
      <c r="BC24" s="359"/>
      <c r="BD24" s="359"/>
      <c r="BE24" s="359"/>
      <c r="BF24" s="359"/>
      <c r="BG24" s="358"/>
      <c r="BH24" s="358"/>
      <c r="BI24" s="362"/>
      <c r="BJ24" s="362"/>
      <c r="BK24" s="362"/>
      <c r="BL24" s="362"/>
      <c r="BM24" s="362"/>
      <c r="BN24" s="362"/>
      <c r="BO24" s="359"/>
      <c r="BP24" s="359"/>
      <c r="BQ24" s="359"/>
      <c r="BR24" s="359"/>
      <c r="BS24" s="359"/>
      <c r="BT24" s="357"/>
      <c r="BU24" s="362"/>
      <c r="BV24" s="362"/>
      <c r="BW24" s="361"/>
      <c r="BX24" s="359"/>
      <c r="BY24" s="358"/>
      <c r="BZ24" s="362"/>
      <c r="CA24" s="362"/>
      <c r="CB24" s="362"/>
      <c r="CC24" s="362"/>
      <c r="CD24" s="362"/>
      <c r="CE24" s="362"/>
      <c r="CF24" s="362"/>
      <c r="CG24" s="362"/>
      <c r="CH24" s="362"/>
      <c r="CI24" s="362"/>
      <c r="CJ24" s="362"/>
      <c r="CK24" s="355"/>
      <c r="CL24" s="355"/>
      <c r="CM24" s="355"/>
      <c r="CN24" s="362"/>
      <c r="CO24" s="362"/>
      <c r="CP24" s="362"/>
      <c r="CQ24" s="355"/>
      <c r="CR24" s="355"/>
      <c r="CS24" s="355"/>
      <c r="CT24" s="355"/>
      <c r="CU24" s="355"/>
      <c r="CV24" s="355"/>
      <c r="CW24" s="362"/>
      <c r="CX24" s="355"/>
      <c r="CY24" s="355"/>
      <c r="CZ24" s="358"/>
      <c r="DA24" s="359"/>
      <c r="DB24" s="359"/>
      <c r="DC24" s="362"/>
      <c r="DD24" s="362"/>
      <c r="DE24" s="362"/>
      <c r="DF24" s="359"/>
      <c r="DG24" s="359"/>
      <c r="DH24" s="359"/>
      <c r="DI24" s="359"/>
      <c r="DJ24" s="359"/>
      <c r="DK24" s="359"/>
      <c r="DL24" s="359"/>
      <c r="DM24" s="359"/>
      <c r="DN24" s="358"/>
      <c r="DO24" s="362"/>
      <c r="DP24" s="358"/>
      <c r="DQ24" s="359"/>
      <c r="DR24" s="355"/>
      <c r="DS24" s="361"/>
      <c r="DT24" s="361"/>
      <c r="DU24" s="362"/>
      <c r="DV24" s="362"/>
      <c r="DW24" s="359"/>
      <c r="DX24" s="358"/>
      <c r="DY24" s="362"/>
      <c r="DZ24" s="362"/>
      <c r="EA24" s="362"/>
      <c r="EB24" s="362"/>
      <c r="EC24" s="359"/>
      <c r="ED24" s="354"/>
      <c r="EE24" s="354"/>
      <c r="EF24" s="359"/>
      <c r="EG24" s="362"/>
      <c r="EH24" s="359"/>
      <c r="EI24" s="359"/>
      <c r="EJ24" s="362"/>
      <c r="EK24" s="362"/>
      <c r="EL24" s="359"/>
      <c r="EM24" s="358"/>
      <c r="EN24" s="358"/>
      <c r="EO24" s="362"/>
      <c r="EP24" s="358"/>
      <c r="EQ24" s="358"/>
      <c r="ER24" s="358"/>
      <c r="ES24" s="358"/>
      <c r="ET24" s="359"/>
      <c r="EU24" s="359"/>
      <c r="EV24" s="362"/>
      <c r="EW24" s="362"/>
      <c r="EX24" s="359"/>
      <c r="EY24" s="358"/>
      <c r="EZ24" s="359"/>
      <c r="FA24" s="362"/>
      <c r="FB24" s="362"/>
      <c r="FC24" s="362"/>
      <c r="FD24" s="361"/>
      <c r="FE24" s="361"/>
      <c r="FF24" s="355"/>
      <c r="FG24" s="356"/>
      <c r="FH24" s="355"/>
      <c r="FI24" s="360"/>
      <c r="FJ24" s="364"/>
      <c r="FK24" s="360"/>
      <c r="FL24" s="356"/>
      <c r="FM24" s="378"/>
      <c r="FN24" s="378"/>
      <c r="FO24" s="378"/>
      <c r="FP24" s="374"/>
      <c r="FQ24" s="378"/>
      <c r="FR24" s="378"/>
      <c r="FS24" s="378"/>
      <c r="FT24" s="376"/>
      <c r="FU24" s="368"/>
      <c r="FV24" s="368"/>
      <c r="FW24" s="368"/>
      <c r="FX24" s="368"/>
      <c r="FY24" s="368"/>
      <c r="FZ24" s="376"/>
      <c r="GA24" s="378"/>
      <c r="GB24" s="378"/>
      <c r="GC24" s="378"/>
      <c r="GD24" s="378"/>
      <c r="GE24" s="384"/>
      <c r="GF24" s="378"/>
      <c r="GG24" s="378"/>
      <c r="GH24" s="378"/>
      <c r="GI24" s="378"/>
      <c r="GJ24" s="378"/>
      <c r="GK24" s="378"/>
      <c r="GL24" s="378"/>
      <c r="GM24" s="382"/>
      <c r="GN24" s="384"/>
      <c r="GO24" s="382"/>
      <c r="GP24" s="378"/>
      <c r="GQ24" s="378"/>
      <c r="GR24" s="378"/>
    </row>
    <row r="25" spans="1:200" ht="13.5" customHeight="1" x14ac:dyDescent="0.2">
      <c r="A25" s="361" t="s">
        <v>295</v>
      </c>
      <c r="B25" s="361" t="s">
        <v>250</v>
      </c>
      <c r="C25" s="361"/>
      <c r="D25" s="359"/>
      <c r="E25" s="359"/>
      <c r="F25" s="359"/>
      <c r="G25" s="362"/>
      <c r="H25" s="359"/>
      <c r="I25" s="359"/>
      <c r="J25" s="359"/>
      <c r="K25" s="358"/>
      <c r="L25" s="362"/>
      <c r="M25" s="362"/>
      <c r="N25" s="362"/>
      <c r="O25" s="362"/>
      <c r="P25" s="362"/>
      <c r="Q25" s="362"/>
      <c r="R25" s="362"/>
      <c r="S25" s="362"/>
      <c r="T25" s="362"/>
      <c r="U25" s="362"/>
      <c r="V25" s="362"/>
      <c r="W25" s="362"/>
      <c r="X25" s="362"/>
      <c r="Y25" s="358"/>
      <c r="Z25" s="362"/>
      <c r="AA25" s="362"/>
      <c r="AB25" s="362"/>
      <c r="AC25" s="362"/>
      <c r="AD25" s="362"/>
      <c r="AE25" s="362"/>
      <c r="AF25" s="362"/>
      <c r="AG25" s="362"/>
      <c r="AH25" s="362"/>
      <c r="AI25" s="362"/>
      <c r="AJ25" s="357"/>
      <c r="AK25" s="354"/>
      <c r="AL25" s="357"/>
      <c r="AM25" s="357"/>
      <c r="AN25" s="355"/>
      <c r="AO25" s="356"/>
      <c r="AP25" s="356"/>
      <c r="AQ25" s="363"/>
      <c r="AR25" s="363"/>
      <c r="AS25" s="363"/>
      <c r="AT25" s="363"/>
      <c r="AU25" s="367"/>
      <c r="AV25" s="356"/>
      <c r="AW25" s="356"/>
      <c r="AX25" s="363"/>
      <c r="AY25" s="363"/>
      <c r="AZ25" s="384"/>
      <c r="BA25" s="363"/>
      <c r="BB25" s="358"/>
      <c r="BC25" s="358"/>
      <c r="BD25" s="358"/>
      <c r="BE25" s="359"/>
      <c r="BF25" s="359"/>
      <c r="BG25" s="359"/>
      <c r="BH25" s="362"/>
      <c r="BI25" s="362"/>
      <c r="BJ25" s="362"/>
      <c r="BK25" s="362"/>
      <c r="BL25" s="362"/>
      <c r="BM25" s="362"/>
      <c r="BN25" s="362"/>
      <c r="BO25" s="362"/>
      <c r="BP25" s="359"/>
      <c r="BQ25" s="359"/>
      <c r="BR25" s="359"/>
      <c r="BS25" s="355"/>
      <c r="BT25" s="359"/>
      <c r="BU25" s="359"/>
      <c r="BV25" s="359"/>
      <c r="BW25" s="358"/>
      <c r="BX25" s="358"/>
      <c r="BY25" s="362"/>
      <c r="BZ25" s="358"/>
      <c r="CA25" s="362"/>
      <c r="CB25" s="362"/>
      <c r="CC25" s="362"/>
      <c r="CD25" s="362"/>
      <c r="CE25" s="362"/>
      <c r="CF25" s="362"/>
      <c r="CG25" s="362"/>
      <c r="CH25" s="362"/>
      <c r="CI25" s="362"/>
      <c r="CJ25" s="362"/>
      <c r="CK25" s="358"/>
      <c r="CL25" s="358"/>
      <c r="CM25" s="362"/>
      <c r="CN25" s="362"/>
      <c r="CO25" s="362"/>
      <c r="CP25" s="362"/>
      <c r="CQ25" s="355"/>
      <c r="CR25" s="355"/>
      <c r="CS25" s="358"/>
      <c r="CT25" s="356"/>
      <c r="CU25" s="355"/>
      <c r="CV25" s="355"/>
      <c r="CW25" s="355"/>
      <c r="CX25" s="358"/>
      <c r="CY25" s="359"/>
      <c r="CZ25" s="359"/>
      <c r="DA25" s="358"/>
      <c r="DB25" s="358"/>
      <c r="DC25" s="359"/>
      <c r="DD25" s="362"/>
      <c r="DE25" s="358"/>
      <c r="DF25" s="359"/>
      <c r="DG25" s="359"/>
      <c r="DH25" s="359"/>
      <c r="DI25" s="359"/>
      <c r="DJ25" s="359"/>
      <c r="DK25" s="359"/>
      <c r="DL25" s="359"/>
      <c r="DM25" s="359"/>
      <c r="DN25" s="359"/>
      <c r="DO25" s="359"/>
      <c r="DP25" s="362"/>
      <c r="DQ25" s="359"/>
      <c r="DR25" s="359"/>
      <c r="DS25" s="357"/>
      <c r="DT25" s="359"/>
      <c r="DU25" s="361"/>
      <c r="DV25" s="361"/>
      <c r="DW25" s="362"/>
      <c r="DX25" s="362"/>
      <c r="DY25" s="359"/>
      <c r="DZ25" s="359"/>
      <c r="EA25" s="362"/>
      <c r="EB25" s="362"/>
      <c r="EC25" s="362"/>
      <c r="ED25" s="362"/>
      <c r="EE25" s="359"/>
      <c r="EF25" s="354"/>
      <c r="EG25" s="359"/>
      <c r="EH25" s="362"/>
      <c r="EI25" s="359"/>
      <c r="EJ25" s="362"/>
      <c r="EK25" s="362"/>
      <c r="EL25" s="362"/>
      <c r="EM25" s="362"/>
      <c r="EN25" s="359"/>
      <c r="EO25" s="362"/>
      <c r="EP25" s="362"/>
      <c r="EQ25" s="362"/>
      <c r="ER25" s="358"/>
      <c r="ES25" s="358"/>
      <c r="ET25" s="358"/>
      <c r="EU25" s="359"/>
      <c r="EV25" s="359"/>
      <c r="EW25" s="362"/>
      <c r="EX25" s="362"/>
      <c r="EY25" s="362"/>
      <c r="EZ25" s="362"/>
      <c r="FA25" s="362"/>
      <c r="FB25" s="362"/>
      <c r="FC25" s="362"/>
      <c r="FD25" s="362"/>
      <c r="FE25" s="361"/>
      <c r="FF25" s="355"/>
      <c r="FG25" s="355"/>
      <c r="FH25" s="355"/>
      <c r="FI25" s="360"/>
      <c r="FJ25" s="360"/>
      <c r="FK25" s="364"/>
      <c r="FL25" s="356"/>
      <c r="FM25" s="378"/>
      <c r="FN25" s="378"/>
      <c r="FO25" s="378"/>
      <c r="FP25" s="378"/>
      <c r="FQ25" s="378"/>
      <c r="FR25" s="378"/>
      <c r="FS25" s="378"/>
      <c r="FT25" s="376"/>
      <c r="FU25" s="368"/>
      <c r="FV25" s="368"/>
      <c r="FW25" s="368"/>
      <c r="FX25" s="368"/>
      <c r="FY25" s="368"/>
      <c r="FZ25" s="376"/>
      <c r="GA25" s="378"/>
      <c r="GB25" s="384"/>
      <c r="GC25" s="378"/>
      <c r="GD25" s="378"/>
      <c r="GE25" s="384"/>
      <c r="GF25" s="378"/>
      <c r="GG25" s="378"/>
      <c r="GH25" s="378"/>
      <c r="GI25" s="378"/>
      <c r="GJ25" s="378"/>
      <c r="GK25" s="378"/>
      <c r="GL25" s="378"/>
      <c r="GM25" s="378"/>
      <c r="GN25" s="382"/>
      <c r="GO25" s="386"/>
      <c r="GP25" s="378"/>
      <c r="GQ25" s="378"/>
      <c r="GR25" s="378"/>
    </row>
    <row r="26" spans="1:200" ht="13.5" customHeight="1" x14ac:dyDescent="0.2">
      <c r="A26" s="361" t="s">
        <v>296</v>
      </c>
      <c r="B26" s="361" t="s">
        <v>251</v>
      </c>
      <c r="C26" s="361"/>
      <c r="D26" s="362"/>
      <c r="E26" s="359"/>
      <c r="F26" s="359"/>
      <c r="G26" s="359"/>
      <c r="H26" s="362"/>
      <c r="I26" s="358"/>
      <c r="J26" s="358"/>
      <c r="K26" s="358"/>
      <c r="L26" s="362"/>
      <c r="M26" s="362"/>
      <c r="N26" s="362"/>
      <c r="O26" s="362"/>
      <c r="P26" s="362"/>
      <c r="Q26" s="362"/>
      <c r="R26" s="362"/>
      <c r="S26" s="358"/>
      <c r="T26" s="358"/>
      <c r="U26" s="362"/>
      <c r="V26" s="362"/>
      <c r="W26" s="362"/>
      <c r="X26" s="362"/>
      <c r="Y26" s="362"/>
      <c r="Z26" s="358"/>
      <c r="AA26" s="362"/>
      <c r="AB26" s="362"/>
      <c r="AC26" s="362"/>
      <c r="AD26" s="362"/>
      <c r="AE26" s="362"/>
      <c r="AF26" s="362"/>
      <c r="AG26" s="362"/>
      <c r="AH26" s="362"/>
      <c r="AI26" s="362"/>
      <c r="AJ26" s="354"/>
      <c r="AK26" s="354"/>
      <c r="AL26" s="357"/>
      <c r="AM26" s="357"/>
      <c r="AN26" s="363"/>
      <c r="AO26" s="367"/>
      <c r="AP26" s="374"/>
      <c r="AQ26" s="356"/>
      <c r="AR26" s="363"/>
      <c r="AS26" s="363"/>
      <c r="AT26" s="363"/>
      <c r="AU26" s="363"/>
      <c r="AV26" s="363"/>
      <c r="AW26" s="363"/>
      <c r="AX26" s="363"/>
      <c r="AY26" s="363"/>
      <c r="AZ26" s="363"/>
      <c r="BA26" s="356"/>
      <c r="BB26" s="362"/>
      <c r="BC26" s="362"/>
      <c r="BD26" s="362"/>
      <c r="BE26" s="358"/>
      <c r="BF26" s="359"/>
      <c r="BG26" s="362"/>
      <c r="BH26" s="362"/>
      <c r="BI26" s="362"/>
      <c r="BJ26" s="362"/>
      <c r="BK26" s="362"/>
      <c r="BL26" s="362"/>
      <c r="BM26" s="362"/>
      <c r="BN26" s="362"/>
      <c r="BO26" s="362"/>
      <c r="BP26" s="362"/>
      <c r="BQ26" s="359"/>
      <c r="BR26" s="358"/>
      <c r="BS26" s="359"/>
      <c r="BT26" s="359"/>
      <c r="BU26" s="359"/>
      <c r="BV26" s="358"/>
      <c r="BW26" s="358"/>
      <c r="BX26" s="358"/>
      <c r="BY26" s="362"/>
      <c r="BZ26" s="362"/>
      <c r="CA26" s="361"/>
      <c r="CB26" s="362"/>
      <c r="CC26" s="362"/>
      <c r="CD26" s="362"/>
      <c r="CE26" s="362"/>
      <c r="CF26" s="362"/>
      <c r="CG26" s="362"/>
      <c r="CH26" s="362"/>
      <c r="CI26" s="362"/>
      <c r="CJ26" s="362"/>
      <c r="CK26" s="362"/>
      <c r="CL26" s="362"/>
      <c r="CM26" s="361"/>
      <c r="CN26" s="355"/>
      <c r="CO26" s="358"/>
      <c r="CP26" s="358"/>
      <c r="CQ26" s="358"/>
      <c r="CR26" s="362"/>
      <c r="CS26" s="362"/>
      <c r="CT26" s="358"/>
      <c r="CU26" s="359"/>
      <c r="CV26" s="359"/>
      <c r="CW26" s="358"/>
      <c r="CX26" s="362"/>
      <c r="CY26" s="359"/>
      <c r="CZ26" s="359"/>
      <c r="DA26" s="359"/>
      <c r="DB26" s="359"/>
      <c r="DC26" s="358"/>
      <c r="DD26" s="358"/>
      <c r="DE26" s="355"/>
      <c r="DF26" s="359"/>
      <c r="DG26" s="359"/>
      <c r="DH26" s="359"/>
      <c r="DI26" s="359"/>
      <c r="DJ26" s="359"/>
      <c r="DK26" s="359"/>
      <c r="DL26" s="358"/>
      <c r="DM26" s="359"/>
      <c r="DN26" s="359"/>
      <c r="DO26" s="359"/>
      <c r="DP26" s="362"/>
      <c r="DQ26" s="358"/>
      <c r="DR26" s="358"/>
      <c r="DS26" s="362"/>
      <c r="DT26" s="359"/>
      <c r="DU26" s="359"/>
      <c r="DV26" s="362"/>
      <c r="DW26" s="362"/>
      <c r="DX26" s="362"/>
      <c r="DY26" s="362"/>
      <c r="DZ26" s="362"/>
      <c r="EA26" s="362"/>
      <c r="EB26" s="362"/>
      <c r="EC26" s="359"/>
      <c r="ED26" s="362"/>
      <c r="EE26" s="362"/>
      <c r="EF26" s="359"/>
      <c r="EG26" s="359"/>
      <c r="EH26" s="358"/>
      <c r="EI26" s="359"/>
      <c r="EJ26" s="362"/>
      <c r="EK26" s="362"/>
      <c r="EL26" s="362"/>
      <c r="EM26" s="362"/>
      <c r="EN26" s="359"/>
      <c r="EO26" s="358"/>
      <c r="EP26" s="362"/>
      <c r="EQ26" s="362"/>
      <c r="ER26" s="362"/>
      <c r="ES26" s="358"/>
      <c r="ET26" s="358"/>
      <c r="EU26" s="359"/>
      <c r="EV26" s="358"/>
      <c r="EW26" s="362"/>
      <c r="EX26" s="362"/>
      <c r="EY26" s="362"/>
      <c r="EZ26" s="362"/>
      <c r="FA26" s="361"/>
      <c r="FB26" s="362"/>
      <c r="FC26" s="362"/>
      <c r="FD26" s="362"/>
      <c r="FE26" s="359"/>
      <c r="FF26" s="355"/>
      <c r="FG26" s="355"/>
      <c r="FH26" s="361"/>
      <c r="FI26" s="360"/>
      <c r="FJ26" s="360"/>
      <c r="FK26" s="364"/>
      <c r="FL26" s="378"/>
      <c r="FM26" s="378"/>
      <c r="FN26" s="378"/>
      <c r="FO26" s="378"/>
      <c r="FP26" s="378"/>
      <c r="FQ26" s="378"/>
      <c r="FR26" s="378"/>
      <c r="FS26" s="376"/>
      <c r="FT26" s="368"/>
      <c r="FU26" s="368"/>
      <c r="FV26" s="368"/>
      <c r="FW26" s="368"/>
      <c r="FX26" s="368"/>
      <c r="FY26" s="368"/>
      <c r="FZ26" s="376"/>
      <c r="GA26" s="378"/>
      <c r="GB26" s="378"/>
      <c r="GC26" s="378"/>
      <c r="GD26" s="378"/>
      <c r="GE26" s="382"/>
      <c r="GF26" s="378"/>
      <c r="GG26" s="378"/>
      <c r="GH26" s="378"/>
      <c r="GI26" s="378"/>
      <c r="GJ26" s="378"/>
      <c r="GK26" s="378"/>
      <c r="GL26" s="371"/>
      <c r="GM26" s="378"/>
      <c r="GN26" s="382"/>
      <c r="GO26" s="378"/>
      <c r="GP26" s="382"/>
      <c r="GQ26" s="382"/>
      <c r="GR26" s="378"/>
    </row>
    <row r="27" spans="1:200" ht="13.5" customHeight="1" x14ac:dyDescent="0.2">
      <c r="A27" s="387"/>
      <c r="B27" s="362"/>
      <c r="C27" s="361"/>
      <c r="D27" s="361"/>
      <c r="E27" s="359"/>
      <c r="F27" s="359"/>
      <c r="G27" s="359"/>
      <c r="H27" s="362"/>
      <c r="I27" s="362"/>
      <c r="J27" s="358"/>
      <c r="K27" s="362"/>
      <c r="L27" s="358"/>
      <c r="M27" s="358"/>
      <c r="N27" s="358"/>
      <c r="O27" s="362"/>
      <c r="P27" s="362"/>
      <c r="Q27" s="362"/>
      <c r="R27" s="362"/>
      <c r="S27" s="362"/>
      <c r="T27" s="358"/>
      <c r="U27" s="358"/>
      <c r="V27" s="362"/>
      <c r="W27" s="362"/>
      <c r="X27" s="362"/>
      <c r="Y27" s="362"/>
      <c r="Z27" s="362"/>
      <c r="AA27" s="362"/>
      <c r="AB27" s="362"/>
      <c r="AC27" s="362"/>
      <c r="AD27" s="362"/>
      <c r="AE27" s="362"/>
      <c r="AF27" s="362"/>
      <c r="AG27" s="362"/>
      <c r="AH27" s="362"/>
      <c r="AI27" s="362"/>
      <c r="AJ27" s="357"/>
      <c r="AK27" s="354"/>
      <c r="AL27" s="357"/>
      <c r="AM27" s="357"/>
      <c r="AN27" s="363"/>
      <c r="AO27" s="363"/>
      <c r="AP27" s="363"/>
      <c r="AQ27" s="363"/>
      <c r="AR27" s="384"/>
      <c r="AS27" s="363"/>
      <c r="AT27" s="368"/>
      <c r="AU27" s="368"/>
      <c r="AV27" s="368"/>
      <c r="AW27" s="368"/>
      <c r="AX27" s="363"/>
      <c r="AY27" s="363"/>
      <c r="AZ27" s="363"/>
      <c r="BA27" s="363"/>
      <c r="BB27" s="361"/>
      <c r="BC27" s="359"/>
      <c r="BD27" s="359"/>
      <c r="BE27" s="362"/>
      <c r="BF27" s="359"/>
      <c r="BG27" s="362"/>
      <c r="BH27" s="362"/>
      <c r="BI27" s="362"/>
      <c r="BJ27" s="362"/>
      <c r="BK27" s="362"/>
      <c r="BL27" s="362"/>
      <c r="BM27" s="359"/>
      <c r="BN27" s="359"/>
      <c r="BO27" s="359"/>
      <c r="BP27" s="359"/>
      <c r="BQ27" s="358"/>
      <c r="BR27" s="359"/>
      <c r="BS27" s="359"/>
      <c r="BT27" s="362"/>
      <c r="BU27" s="362"/>
      <c r="BV27" s="358"/>
      <c r="BW27" s="358"/>
      <c r="BX27" s="361"/>
      <c r="BY27" s="361"/>
      <c r="BZ27" s="361"/>
      <c r="CA27" s="361"/>
      <c r="CB27" s="361"/>
      <c r="CC27" s="361"/>
      <c r="CD27" s="361"/>
      <c r="CE27" s="361"/>
      <c r="CF27" s="361"/>
      <c r="CG27" s="361"/>
      <c r="CH27" s="362"/>
      <c r="CI27" s="362"/>
      <c r="CJ27" s="362"/>
      <c r="CK27" s="361"/>
      <c r="CL27" s="361"/>
      <c r="CM27" s="361"/>
      <c r="CN27" s="361"/>
      <c r="CO27" s="361"/>
      <c r="CP27" s="361"/>
      <c r="CQ27" s="361"/>
      <c r="CR27" s="362"/>
      <c r="CS27" s="362"/>
      <c r="CT27" s="361"/>
      <c r="CU27" s="361"/>
      <c r="CV27" s="361"/>
      <c r="CW27" s="360"/>
      <c r="CX27" s="358"/>
      <c r="CY27" s="362"/>
      <c r="CZ27" s="362"/>
      <c r="DA27" s="359"/>
      <c r="DB27" s="359"/>
      <c r="DC27" s="359"/>
      <c r="DD27" s="356"/>
      <c r="DE27" s="356"/>
      <c r="DF27" s="361"/>
      <c r="DG27" s="358"/>
      <c r="DH27" s="358"/>
      <c r="DI27" s="359"/>
      <c r="DJ27" s="359"/>
      <c r="DK27" s="359"/>
      <c r="DL27" s="359"/>
      <c r="DM27" s="359"/>
      <c r="DN27" s="359"/>
      <c r="DO27" s="359"/>
      <c r="DP27" s="359"/>
      <c r="DQ27" s="362"/>
      <c r="DR27" s="362"/>
      <c r="DS27" s="362"/>
      <c r="DT27" s="362"/>
      <c r="DU27" s="359"/>
      <c r="DV27" s="359"/>
      <c r="DW27" s="362"/>
      <c r="DX27" s="362"/>
      <c r="DY27" s="362"/>
      <c r="DZ27" s="362"/>
      <c r="EA27" s="362"/>
      <c r="EB27" s="362"/>
      <c r="EC27" s="359"/>
      <c r="ED27" s="359"/>
      <c r="EE27" s="362"/>
      <c r="EF27" s="362"/>
      <c r="EG27" s="359"/>
      <c r="EH27" s="362"/>
      <c r="EI27" s="362"/>
      <c r="EJ27" s="362"/>
      <c r="EK27" s="362"/>
      <c r="EL27" s="362"/>
      <c r="EM27" s="362"/>
      <c r="EN27" s="362"/>
      <c r="EO27" s="362"/>
      <c r="EP27" s="362"/>
      <c r="EQ27" s="362"/>
      <c r="ER27" s="359"/>
      <c r="ES27" s="358"/>
      <c r="ET27" s="358"/>
      <c r="EU27" s="359"/>
      <c r="EV27" s="359"/>
      <c r="EW27" s="359"/>
      <c r="EX27" s="362"/>
      <c r="EY27" s="362"/>
      <c r="EZ27" s="358"/>
      <c r="FA27" s="361"/>
      <c r="FB27" s="362"/>
      <c r="FC27" s="362"/>
      <c r="FD27" s="358"/>
      <c r="FE27" s="361"/>
      <c r="FF27" s="358"/>
      <c r="FG27" s="355"/>
      <c r="FH27" s="361"/>
      <c r="FI27" s="364"/>
      <c r="FJ27" s="364"/>
      <c r="FK27" s="364"/>
      <c r="FL27" s="378"/>
      <c r="FM27" s="378"/>
      <c r="FN27" s="378"/>
      <c r="FO27" s="378"/>
      <c r="FP27" s="378"/>
      <c r="FQ27" s="378"/>
      <c r="FR27" s="378"/>
      <c r="FS27" s="376"/>
      <c r="FT27" s="368"/>
      <c r="FU27" s="368"/>
      <c r="FV27" s="368"/>
      <c r="FW27" s="368"/>
      <c r="FX27" s="368"/>
      <c r="FY27" s="368"/>
      <c r="FZ27" s="376"/>
      <c r="GA27" s="378"/>
      <c r="GB27" s="378"/>
      <c r="GC27" s="378"/>
      <c r="GD27" s="378"/>
      <c r="GE27" s="386"/>
      <c r="GF27" s="378"/>
      <c r="GG27" s="378"/>
      <c r="GH27" s="378"/>
      <c r="GI27" s="378"/>
      <c r="GJ27" s="378"/>
      <c r="GK27" s="378"/>
      <c r="GL27" s="382"/>
      <c r="GM27" s="371"/>
      <c r="GN27" s="382"/>
      <c r="GO27" s="384"/>
      <c r="GP27" s="378"/>
      <c r="GQ27" s="378"/>
      <c r="GR27" s="378"/>
    </row>
    <row r="28" spans="1:200" ht="13.5" customHeight="1" x14ac:dyDescent="0.2">
      <c r="A28" s="362"/>
      <c r="B28" s="387"/>
      <c r="C28" s="361"/>
      <c r="D28" s="361"/>
      <c r="E28" s="359"/>
      <c r="F28" s="359"/>
      <c r="G28" s="359"/>
      <c r="H28" s="362"/>
      <c r="I28" s="362"/>
      <c r="J28" s="362"/>
      <c r="K28" s="362"/>
      <c r="L28" s="362"/>
      <c r="M28" s="359"/>
      <c r="N28" s="358"/>
      <c r="O28" s="358"/>
      <c r="P28" s="362"/>
      <c r="Q28" s="362"/>
      <c r="R28" s="362"/>
      <c r="S28" s="362"/>
      <c r="T28" s="361"/>
      <c r="U28" s="362"/>
      <c r="V28" s="362"/>
      <c r="W28" s="362"/>
      <c r="X28" s="362"/>
      <c r="Y28" s="362"/>
      <c r="Z28" s="362"/>
      <c r="AA28" s="362"/>
      <c r="AB28" s="362"/>
      <c r="AC28" s="362"/>
      <c r="AD28" s="362"/>
      <c r="AE28" s="362"/>
      <c r="AF28" s="362"/>
      <c r="AG28" s="362"/>
      <c r="AH28" s="362"/>
      <c r="AI28" s="358"/>
      <c r="AJ28" s="357"/>
      <c r="AK28" s="354"/>
      <c r="AL28" s="357"/>
      <c r="AM28" s="359"/>
      <c r="AN28" s="356"/>
      <c r="AO28" s="363"/>
      <c r="AP28" s="363"/>
      <c r="AQ28" s="363"/>
      <c r="AR28" s="384"/>
      <c r="AS28" s="368"/>
      <c r="AT28" s="368"/>
      <c r="AU28" s="363"/>
      <c r="AV28" s="368"/>
      <c r="AW28" s="368"/>
      <c r="AX28" s="368"/>
      <c r="AY28" s="363"/>
      <c r="AZ28" s="363"/>
      <c r="BA28" s="355"/>
      <c r="BB28" s="361"/>
      <c r="BC28" s="358"/>
      <c r="BD28" s="362"/>
      <c r="BE28" s="362"/>
      <c r="BF28" s="359"/>
      <c r="BG28" s="358"/>
      <c r="BH28" s="362"/>
      <c r="BI28" s="362"/>
      <c r="BJ28" s="362"/>
      <c r="BK28" s="362"/>
      <c r="BL28" s="359"/>
      <c r="BM28" s="359"/>
      <c r="BN28" s="359"/>
      <c r="BO28" s="359"/>
      <c r="BP28" s="359"/>
      <c r="BQ28" s="359"/>
      <c r="BR28" s="359"/>
      <c r="BS28" s="362"/>
      <c r="BT28" s="362"/>
      <c r="BU28" s="358"/>
      <c r="BV28" s="358"/>
      <c r="BW28" s="361"/>
      <c r="BX28" s="361"/>
      <c r="BY28" s="362"/>
      <c r="BZ28" s="362"/>
      <c r="CA28" s="362"/>
      <c r="CB28" s="362"/>
      <c r="CC28" s="362"/>
      <c r="CD28" s="355"/>
      <c r="CE28" s="355"/>
      <c r="CF28" s="355"/>
      <c r="CG28" s="355"/>
      <c r="CH28" s="355"/>
      <c r="CI28" s="355"/>
      <c r="CJ28" s="355"/>
      <c r="CK28" s="361"/>
      <c r="CL28" s="355"/>
      <c r="CM28" s="355"/>
      <c r="CN28" s="361"/>
      <c r="CO28" s="361"/>
      <c r="CP28" s="361"/>
      <c r="CQ28" s="361"/>
      <c r="CR28" s="361"/>
      <c r="CS28" s="361"/>
      <c r="CT28" s="361"/>
      <c r="CU28" s="361"/>
      <c r="CV28" s="361"/>
      <c r="CW28" s="361"/>
      <c r="CX28" s="361"/>
      <c r="CY28" s="360"/>
      <c r="CZ28" s="362"/>
      <c r="DA28" s="355"/>
      <c r="DB28" s="355"/>
      <c r="DC28" s="358"/>
      <c r="DD28" s="358"/>
      <c r="DE28" s="356"/>
      <c r="DF28" s="355"/>
      <c r="DG28" s="361"/>
      <c r="DH28" s="361"/>
      <c r="DI28" s="362"/>
      <c r="DJ28" s="362"/>
      <c r="DK28" s="359"/>
      <c r="DL28" s="359"/>
      <c r="DM28" s="359"/>
      <c r="DN28" s="359"/>
      <c r="DO28" s="359"/>
      <c r="DP28" s="359"/>
      <c r="DQ28" s="359"/>
      <c r="DR28" s="358"/>
      <c r="DS28" s="358"/>
      <c r="DT28" s="358"/>
      <c r="DU28" s="358"/>
      <c r="DV28" s="358"/>
      <c r="DW28" s="358"/>
      <c r="DX28" s="359"/>
      <c r="DY28" s="359"/>
      <c r="DZ28" s="359"/>
      <c r="EA28" s="362"/>
      <c r="EB28" s="362"/>
      <c r="EC28" s="362"/>
      <c r="ED28" s="354"/>
      <c r="EE28" s="359"/>
      <c r="EF28" s="362"/>
      <c r="EG28" s="362"/>
      <c r="EH28" s="362"/>
      <c r="EI28" s="362"/>
      <c r="EJ28" s="362"/>
      <c r="EK28" s="362"/>
      <c r="EL28" s="362"/>
      <c r="EM28" s="362"/>
      <c r="EN28" s="362"/>
      <c r="EO28" s="362"/>
      <c r="EP28" s="362"/>
      <c r="EQ28" s="361"/>
      <c r="ER28" s="361"/>
      <c r="ES28" s="362"/>
      <c r="ET28" s="362"/>
      <c r="EU28" s="362"/>
      <c r="EV28" s="359"/>
      <c r="EW28" s="357"/>
      <c r="EX28" s="359"/>
      <c r="EY28" s="362"/>
      <c r="EZ28" s="358"/>
      <c r="FA28" s="361"/>
      <c r="FB28" s="362"/>
      <c r="FC28" s="355"/>
      <c r="FD28" s="358"/>
      <c r="FE28" s="361"/>
      <c r="FF28" s="358"/>
      <c r="FG28" s="355"/>
      <c r="FH28" s="360"/>
      <c r="FI28" s="360"/>
      <c r="FJ28" s="360"/>
      <c r="FK28" s="364"/>
      <c r="FL28" s="378"/>
      <c r="FM28" s="378"/>
      <c r="FN28" s="378"/>
      <c r="FO28" s="378"/>
      <c r="FP28" s="382"/>
      <c r="FQ28" s="378"/>
      <c r="FR28" s="378"/>
      <c r="FS28" s="376"/>
      <c r="FT28" s="368"/>
      <c r="FU28" s="368"/>
      <c r="FV28" s="368"/>
      <c r="FW28" s="368"/>
      <c r="FX28" s="368"/>
      <c r="FY28" s="368"/>
      <c r="FZ28" s="376"/>
      <c r="GA28" s="378"/>
      <c r="GB28" s="384"/>
      <c r="GC28" s="378"/>
      <c r="GD28" s="378"/>
      <c r="GE28" s="384"/>
      <c r="GF28" s="378"/>
      <c r="GG28" s="378"/>
      <c r="GH28" s="378"/>
      <c r="GI28" s="378"/>
      <c r="GJ28" s="378"/>
      <c r="GK28" s="378"/>
      <c r="GL28" s="378"/>
      <c r="GM28" s="371"/>
      <c r="GN28" s="382"/>
      <c r="GO28" s="384"/>
      <c r="GP28" s="378"/>
      <c r="GQ28" s="378"/>
      <c r="GR28" s="378"/>
    </row>
    <row r="29" spans="1:200" ht="13.5" customHeight="1" x14ac:dyDescent="0.2">
      <c r="A29" s="362"/>
      <c r="B29" s="362"/>
      <c r="C29" s="362"/>
      <c r="D29" s="361"/>
      <c r="E29" s="361"/>
      <c r="F29" s="359"/>
      <c r="G29" s="359"/>
      <c r="H29" s="362"/>
      <c r="I29" s="362"/>
      <c r="J29" s="362"/>
      <c r="K29" s="362"/>
      <c r="L29" s="362"/>
      <c r="M29" s="362"/>
      <c r="N29" s="358"/>
      <c r="O29" s="358"/>
      <c r="P29" s="358"/>
      <c r="Q29" s="358"/>
      <c r="R29" s="362"/>
      <c r="S29" s="358"/>
      <c r="T29" s="362"/>
      <c r="U29" s="362"/>
      <c r="V29" s="362"/>
      <c r="W29" s="362"/>
      <c r="X29" s="362"/>
      <c r="Y29" s="362"/>
      <c r="Z29" s="362"/>
      <c r="AA29" s="362"/>
      <c r="AB29" s="362"/>
      <c r="AC29" s="362"/>
      <c r="AD29" s="362"/>
      <c r="AE29" s="362"/>
      <c r="AF29" s="362"/>
      <c r="AG29" s="362"/>
      <c r="AH29" s="362"/>
      <c r="AI29" s="361"/>
      <c r="AJ29" s="357"/>
      <c r="AK29" s="354"/>
      <c r="AL29" s="354"/>
      <c r="AM29" s="362"/>
      <c r="AN29" s="363"/>
      <c r="AO29" s="363"/>
      <c r="AP29" s="363"/>
      <c r="AQ29" s="363"/>
      <c r="AR29" s="384"/>
      <c r="AS29" s="368"/>
      <c r="AT29" s="368"/>
      <c r="AU29" s="363"/>
      <c r="AV29" s="368"/>
      <c r="AW29" s="368"/>
      <c r="AX29" s="368"/>
      <c r="AY29" s="363"/>
      <c r="AZ29" s="363"/>
      <c r="BA29" s="374"/>
      <c r="BB29" s="361"/>
      <c r="BC29" s="362"/>
      <c r="BD29" s="362"/>
      <c r="BE29" s="362"/>
      <c r="BF29" s="362"/>
      <c r="BG29" s="362"/>
      <c r="BH29" s="362"/>
      <c r="BI29" s="362"/>
      <c r="BJ29" s="359"/>
      <c r="BK29" s="359"/>
      <c r="BL29" s="359"/>
      <c r="BM29" s="359"/>
      <c r="BN29" s="359"/>
      <c r="BO29" s="359"/>
      <c r="BP29" s="359"/>
      <c r="BQ29" s="362"/>
      <c r="BR29" s="362"/>
      <c r="BS29" s="358"/>
      <c r="BT29" s="358"/>
      <c r="BU29" s="362"/>
      <c r="BV29" s="361"/>
      <c r="BW29" s="362"/>
      <c r="BX29" s="362"/>
      <c r="BY29" s="362"/>
      <c r="BZ29" s="362"/>
      <c r="CA29" s="362"/>
      <c r="CB29" s="361"/>
      <c r="CC29" s="361"/>
      <c r="CD29" s="356"/>
      <c r="CE29" s="364"/>
      <c r="CF29" s="356"/>
      <c r="CG29" s="364"/>
      <c r="CH29" s="364"/>
      <c r="CI29" s="364"/>
      <c r="CJ29" s="364"/>
      <c r="CK29" s="364"/>
      <c r="CL29" s="360"/>
      <c r="CM29" s="364"/>
      <c r="CN29" s="360"/>
      <c r="CO29" s="360"/>
      <c r="CP29" s="360"/>
      <c r="CQ29" s="360"/>
      <c r="CR29" s="360"/>
      <c r="CS29" s="360"/>
      <c r="CT29" s="360"/>
      <c r="CU29" s="361"/>
      <c r="CV29" s="355"/>
      <c r="CW29" s="355"/>
      <c r="CX29" s="355"/>
      <c r="CY29" s="361"/>
      <c r="CZ29" s="362"/>
      <c r="DA29" s="361"/>
      <c r="DB29" s="361"/>
      <c r="DC29" s="361"/>
      <c r="DD29" s="358"/>
      <c r="DE29" s="362"/>
      <c r="DF29" s="362"/>
      <c r="DG29" s="361"/>
      <c r="DH29" s="361"/>
      <c r="DI29" s="361"/>
      <c r="DJ29" s="361"/>
      <c r="DK29" s="362"/>
      <c r="DL29" s="362"/>
      <c r="DM29" s="361"/>
      <c r="DN29" s="361"/>
      <c r="DO29" s="362"/>
      <c r="DP29" s="359"/>
      <c r="DQ29" s="359"/>
      <c r="DR29" s="359"/>
      <c r="DS29" s="358"/>
      <c r="DT29" s="358"/>
      <c r="DU29" s="358"/>
      <c r="DV29" s="359"/>
      <c r="DW29" s="359"/>
      <c r="DX29" s="359"/>
      <c r="DY29" s="359"/>
      <c r="DZ29" s="362"/>
      <c r="EA29" s="359"/>
      <c r="EB29" s="362"/>
      <c r="EC29" s="362"/>
      <c r="ED29" s="362"/>
      <c r="EE29" s="359"/>
      <c r="EF29" s="359"/>
      <c r="EG29" s="362"/>
      <c r="EH29" s="362"/>
      <c r="EI29" s="361"/>
      <c r="EJ29" s="361"/>
      <c r="EK29" s="362"/>
      <c r="EL29" s="362"/>
      <c r="EM29" s="361"/>
      <c r="EN29" s="361"/>
      <c r="EO29" s="361"/>
      <c r="EP29" s="361"/>
      <c r="EQ29" s="361"/>
      <c r="ER29" s="361"/>
      <c r="ES29" s="358"/>
      <c r="ET29" s="362"/>
      <c r="EU29" s="362"/>
      <c r="EV29" s="362"/>
      <c r="EW29" s="362"/>
      <c r="EX29" s="362"/>
      <c r="EY29" s="362"/>
      <c r="EZ29" s="358"/>
      <c r="FA29" s="361"/>
      <c r="FB29" s="362"/>
      <c r="FC29" s="362"/>
      <c r="FD29" s="358"/>
      <c r="FE29" s="361"/>
      <c r="FF29" s="355"/>
      <c r="FG29" s="355"/>
      <c r="FH29" s="355"/>
      <c r="FI29" s="360"/>
      <c r="FJ29" s="364"/>
      <c r="FK29" s="364"/>
      <c r="FL29" s="378"/>
      <c r="FM29" s="378"/>
      <c r="FN29" s="378"/>
      <c r="FO29" s="378"/>
      <c r="FP29" s="378"/>
      <c r="FQ29" s="378"/>
      <c r="FR29" s="376"/>
      <c r="FS29" s="368"/>
      <c r="FT29" s="368"/>
      <c r="FU29" s="368"/>
      <c r="FV29" s="368"/>
      <c r="FW29" s="368"/>
      <c r="FX29" s="368"/>
      <c r="FY29" s="368"/>
      <c r="FZ29" s="376"/>
      <c r="GA29" s="378"/>
      <c r="GB29" s="378"/>
      <c r="GC29" s="378"/>
      <c r="GD29" s="378"/>
      <c r="GE29" s="378"/>
      <c r="GF29" s="378"/>
      <c r="GG29" s="378"/>
      <c r="GH29" s="378"/>
      <c r="GI29" s="378"/>
      <c r="GJ29" s="378"/>
      <c r="GK29" s="378"/>
      <c r="GL29" s="378"/>
      <c r="GM29" s="378"/>
      <c r="GN29" s="378"/>
      <c r="GO29" s="382"/>
      <c r="GP29" s="378"/>
      <c r="GQ29" s="378"/>
      <c r="GR29" s="378"/>
    </row>
    <row r="30" spans="1:200" ht="13.5" customHeight="1" x14ac:dyDescent="0.2">
      <c r="A30" s="361"/>
      <c r="B30" s="387"/>
      <c r="C30" s="359"/>
      <c r="D30" s="362"/>
      <c r="E30" s="361"/>
      <c r="F30" s="359"/>
      <c r="G30" s="359"/>
      <c r="H30" s="362"/>
      <c r="I30" s="362"/>
      <c r="J30" s="362"/>
      <c r="K30" s="362"/>
      <c r="L30" s="362"/>
      <c r="M30" s="362"/>
      <c r="N30" s="358"/>
      <c r="O30" s="358"/>
      <c r="P30" s="358"/>
      <c r="Q30" s="358"/>
      <c r="R30" s="358"/>
      <c r="S30" s="362"/>
      <c r="T30" s="362"/>
      <c r="U30" s="362"/>
      <c r="V30" s="362"/>
      <c r="W30" s="362"/>
      <c r="X30" s="361"/>
      <c r="Y30" s="362"/>
      <c r="Z30" s="362"/>
      <c r="AA30" s="362"/>
      <c r="AB30" s="362"/>
      <c r="AC30" s="362"/>
      <c r="AD30" s="362"/>
      <c r="AE30" s="362"/>
      <c r="AF30" s="362"/>
      <c r="AG30" s="362"/>
      <c r="AH30" s="358"/>
      <c r="AI30" s="358"/>
      <c r="AJ30" s="357"/>
      <c r="AK30" s="357"/>
      <c r="AL30" s="354"/>
      <c r="AM30" s="355"/>
      <c r="AN30" s="363"/>
      <c r="AO30" s="363"/>
      <c r="AP30" s="363"/>
      <c r="AQ30" s="363"/>
      <c r="AR30" s="363"/>
      <c r="AS30" s="368"/>
      <c r="AT30" s="368"/>
      <c r="AU30" s="368"/>
      <c r="AV30" s="368"/>
      <c r="AW30" s="368"/>
      <c r="AX30" s="363"/>
      <c r="AY30" s="363"/>
      <c r="AZ30" s="363"/>
      <c r="BA30" s="374"/>
      <c r="BB30" s="362"/>
      <c r="BC30" s="362"/>
      <c r="BD30" s="362"/>
      <c r="BE30" s="362"/>
      <c r="BF30" s="362"/>
      <c r="BG30" s="362"/>
      <c r="BH30" s="362"/>
      <c r="BI30" s="362"/>
      <c r="BJ30" s="362"/>
      <c r="BK30" s="362"/>
      <c r="BL30" s="359"/>
      <c r="BM30" s="359"/>
      <c r="BN30" s="359"/>
      <c r="BO30" s="359"/>
      <c r="BP30" s="362"/>
      <c r="BQ30" s="358"/>
      <c r="BR30" s="358"/>
      <c r="BS30" s="358"/>
      <c r="BT30" s="362"/>
      <c r="BU30" s="362"/>
      <c r="BV30" s="362"/>
      <c r="BW30" s="362"/>
      <c r="BX30" s="358"/>
      <c r="BY30" s="362"/>
      <c r="BZ30" s="362"/>
      <c r="CA30" s="361"/>
      <c r="CB30" s="361"/>
      <c r="CC30" s="361"/>
      <c r="CD30" s="361"/>
      <c r="CE30" s="356"/>
      <c r="CF30" s="364"/>
      <c r="CG30" s="363"/>
      <c r="CH30" s="363"/>
      <c r="CI30" s="364"/>
      <c r="CJ30" s="364"/>
      <c r="CK30" s="364"/>
      <c r="CL30" s="356"/>
      <c r="CM30" s="361"/>
      <c r="CN30" s="361"/>
      <c r="CO30" s="361"/>
      <c r="CP30" s="360"/>
      <c r="CQ30" s="360"/>
      <c r="CR30" s="360"/>
      <c r="CS30" s="360"/>
      <c r="CT30" s="360"/>
      <c r="CU30" s="360"/>
      <c r="CV30" s="364"/>
      <c r="CW30" s="360"/>
      <c r="CX30" s="361"/>
      <c r="CY30" s="361"/>
      <c r="CZ30" s="362"/>
      <c r="DA30" s="362"/>
      <c r="DB30" s="362"/>
      <c r="DC30" s="361"/>
      <c r="DD30" s="361"/>
      <c r="DE30" s="361"/>
      <c r="DF30" s="362"/>
      <c r="DG30" s="362"/>
      <c r="DH30" s="362"/>
      <c r="DI30" s="362"/>
      <c r="DJ30" s="361"/>
      <c r="DK30" s="361"/>
      <c r="DL30" s="361"/>
      <c r="DM30" s="359"/>
      <c r="DN30" s="361"/>
      <c r="DO30" s="361"/>
      <c r="DP30" s="362"/>
      <c r="DQ30" s="362"/>
      <c r="DR30" s="359"/>
      <c r="DS30" s="359"/>
      <c r="DT30" s="359"/>
      <c r="DU30" s="357"/>
      <c r="DV30" s="358"/>
      <c r="DW30" s="358"/>
      <c r="DX30" s="358"/>
      <c r="DY30" s="359"/>
      <c r="DZ30" s="359"/>
      <c r="EA30" s="358"/>
      <c r="EB30" s="362"/>
      <c r="EC30" s="362"/>
      <c r="ED30" s="362"/>
      <c r="EE30" s="361"/>
      <c r="EF30" s="359"/>
      <c r="EG30" s="362"/>
      <c r="EH30" s="361"/>
      <c r="EI30" s="355"/>
      <c r="EJ30" s="362"/>
      <c r="EK30" s="362"/>
      <c r="EL30" s="373"/>
      <c r="EM30" s="362"/>
      <c r="EN30" s="362"/>
      <c r="EO30" s="361"/>
      <c r="EP30" s="361"/>
      <c r="EQ30" s="364"/>
      <c r="ER30" s="361"/>
      <c r="ES30" s="361"/>
      <c r="ET30" s="358"/>
      <c r="EU30" s="358"/>
      <c r="EV30" s="362"/>
      <c r="EW30" s="362"/>
      <c r="EX30" s="362"/>
      <c r="EY30" s="361"/>
      <c r="EZ30" s="362"/>
      <c r="FA30" s="358"/>
      <c r="FB30" s="362"/>
      <c r="FC30" s="362"/>
      <c r="FD30" s="355"/>
      <c r="FE30" s="362"/>
      <c r="FF30" s="355"/>
      <c r="FG30" s="361"/>
      <c r="FH30" s="355"/>
      <c r="FI30" s="364"/>
      <c r="FJ30" s="364"/>
      <c r="FK30" s="364"/>
      <c r="FL30" s="378"/>
      <c r="FM30" s="378"/>
      <c r="FN30" s="378"/>
      <c r="FO30" s="378"/>
      <c r="FP30" s="378"/>
      <c r="FQ30" s="378"/>
      <c r="FR30" s="376"/>
      <c r="FS30" s="368"/>
      <c r="FT30" s="368"/>
      <c r="FU30" s="368"/>
      <c r="FV30" s="368"/>
      <c r="FW30" s="368"/>
      <c r="FX30" s="368"/>
      <c r="FY30" s="368"/>
      <c r="FZ30" s="368"/>
      <c r="GA30" s="376"/>
      <c r="GB30" s="378"/>
      <c r="GC30" s="384"/>
      <c r="GD30" s="378"/>
      <c r="GE30" s="378"/>
      <c r="GF30" s="386"/>
      <c r="GG30" s="378"/>
      <c r="GH30" s="378"/>
      <c r="GI30" s="378"/>
      <c r="GJ30" s="378"/>
      <c r="GK30" s="378"/>
      <c r="GL30" s="378"/>
      <c r="GM30" s="378"/>
      <c r="GN30" s="382"/>
      <c r="GO30" s="386"/>
      <c r="GP30" s="378"/>
      <c r="GQ30" s="382"/>
      <c r="GR30" s="378"/>
    </row>
    <row r="31" spans="1:200" ht="13.5" customHeight="1" x14ac:dyDescent="0.2">
      <c r="A31" s="362"/>
      <c r="B31" s="361"/>
      <c r="C31" s="356"/>
      <c r="D31" s="359"/>
      <c r="E31" s="362"/>
      <c r="F31" s="361"/>
      <c r="G31" s="359"/>
      <c r="H31" s="362"/>
      <c r="I31" s="362"/>
      <c r="J31" s="362"/>
      <c r="K31" s="362"/>
      <c r="L31" s="362"/>
      <c r="M31" s="362"/>
      <c r="N31" s="358"/>
      <c r="O31" s="358"/>
      <c r="P31" s="358"/>
      <c r="Q31" s="358"/>
      <c r="R31" s="358"/>
      <c r="S31" s="358"/>
      <c r="T31" s="362"/>
      <c r="U31" s="362"/>
      <c r="V31" s="362"/>
      <c r="W31" s="362"/>
      <c r="X31" s="362"/>
      <c r="Y31" s="362"/>
      <c r="Z31" s="362"/>
      <c r="AA31" s="362"/>
      <c r="AB31" s="358"/>
      <c r="AC31" s="358"/>
      <c r="AD31" s="362"/>
      <c r="AE31" s="362"/>
      <c r="AF31" s="362"/>
      <c r="AG31" s="362"/>
      <c r="AH31" s="362"/>
      <c r="AI31" s="362"/>
      <c r="AJ31" s="357"/>
      <c r="AK31" s="354"/>
      <c r="AL31" s="354"/>
      <c r="AM31" s="355"/>
      <c r="AN31" s="374"/>
      <c r="AO31" s="363"/>
      <c r="AP31" s="363"/>
      <c r="AQ31" s="363"/>
      <c r="AR31" s="363"/>
      <c r="AS31" s="363"/>
      <c r="AT31" s="368"/>
      <c r="AU31" s="368"/>
      <c r="AV31" s="368"/>
      <c r="AW31" s="363"/>
      <c r="AX31" s="363"/>
      <c r="AY31" s="363"/>
      <c r="AZ31" s="363"/>
      <c r="BA31" s="360"/>
      <c r="BB31" s="362"/>
      <c r="BC31" s="362"/>
      <c r="BD31" s="362"/>
      <c r="BE31" s="362"/>
      <c r="BF31" s="362"/>
      <c r="BG31" s="362"/>
      <c r="BH31" s="359"/>
      <c r="BI31" s="359"/>
      <c r="BJ31" s="359"/>
      <c r="BK31" s="358"/>
      <c r="BL31" s="359"/>
      <c r="BM31" s="359"/>
      <c r="BN31" s="358"/>
      <c r="BO31" s="358"/>
      <c r="BP31" s="358"/>
      <c r="BQ31" s="362"/>
      <c r="BR31" s="362"/>
      <c r="BS31" s="358"/>
      <c r="BT31" s="362"/>
      <c r="BU31" s="362"/>
      <c r="BV31" s="361"/>
      <c r="BW31" s="362"/>
      <c r="BX31" s="358"/>
      <c r="BY31" s="362"/>
      <c r="BZ31" s="361"/>
      <c r="CA31" s="361"/>
      <c r="CB31" s="361"/>
      <c r="CC31" s="361"/>
      <c r="CD31" s="360"/>
      <c r="CE31" s="360"/>
      <c r="CF31" s="363"/>
      <c r="CG31" s="388"/>
      <c r="CH31" s="364"/>
      <c r="CI31" s="363"/>
      <c r="CJ31" s="364"/>
      <c r="CK31" s="364"/>
      <c r="CL31" s="360"/>
      <c r="CM31" s="360"/>
      <c r="CN31" s="360"/>
      <c r="CO31" s="360"/>
      <c r="CP31" s="360"/>
      <c r="CQ31" s="361"/>
      <c r="CR31" s="361"/>
      <c r="CS31" s="360"/>
      <c r="CT31" s="364"/>
      <c r="CU31" s="360"/>
      <c r="CV31" s="360"/>
      <c r="CW31" s="360"/>
      <c r="CX31" s="360"/>
      <c r="CY31" s="361"/>
      <c r="CZ31" s="362"/>
      <c r="DA31" s="362"/>
      <c r="DB31" s="362"/>
      <c r="DC31" s="362"/>
      <c r="DD31" s="362"/>
      <c r="DE31" s="361"/>
      <c r="DF31" s="361"/>
      <c r="DG31" s="361"/>
      <c r="DH31" s="361"/>
      <c r="DI31" s="362"/>
      <c r="DJ31" s="358"/>
      <c r="DK31" s="361"/>
      <c r="DL31" s="361"/>
      <c r="DM31" s="360"/>
      <c r="DN31" s="359"/>
      <c r="DO31" s="361"/>
      <c r="DP31" s="361"/>
      <c r="DQ31" s="362"/>
      <c r="DR31" s="362"/>
      <c r="DS31" s="359"/>
      <c r="DT31" s="354"/>
      <c r="DU31" s="357"/>
      <c r="DV31" s="359"/>
      <c r="DW31" s="358"/>
      <c r="DX31" s="359"/>
      <c r="DY31" s="359"/>
      <c r="DZ31" s="359"/>
      <c r="EA31" s="359"/>
      <c r="EB31" s="357"/>
      <c r="EC31" s="358"/>
      <c r="ED31" s="362"/>
      <c r="EE31" s="362"/>
      <c r="EF31" s="361"/>
      <c r="EG31" s="359"/>
      <c r="EH31" s="373"/>
      <c r="EI31" s="373"/>
      <c r="EJ31" s="374"/>
      <c r="EK31" s="360"/>
      <c r="EL31" s="373"/>
      <c r="EM31" s="374"/>
      <c r="EN31" s="374"/>
      <c r="EO31" s="361"/>
      <c r="EP31" s="361"/>
      <c r="EQ31" s="361"/>
      <c r="ER31" s="373"/>
      <c r="ES31" s="361"/>
      <c r="ET31" s="361"/>
      <c r="EU31" s="358"/>
      <c r="EV31" s="362"/>
      <c r="EW31" s="362"/>
      <c r="EX31" s="362"/>
      <c r="EY31" s="362"/>
      <c r="EZ31" s="362"/>
      <c r="FA31" s="362"/>
      <c r="FB31" s="358"/>
      <c r="FC31" s="362"/>
      <c r="FD31" s="362"/>
      <c r="FE31" s="362"/>
      <c r="FF31" s="355"/>
      <c r="FG31" s="355"/>
      <c r="FH31" s="361"/>
      <c r="FI31" s="364"/>
      <c r="FJ31" s="364"/>
      <c r="FK31" s="364"/>
      <c r="FL31" s="363"/>
      <c r="FM31" s="378"/>
      <c r="FN31" s="378"/>
      <c r="FO31" s="378"/>
      <c r="FP31" s="378"/>
      <c r="FQ31" s="378"/>
      <c r="FR31" s="378"/>
      <c r="FS31" s="376"/>
      <c r="FT31" s="368"/>
      <c r="FU31" s="368"/>
      <c r="FV31" s="368"/>
      <c r="FW31" s="368"/>
      <c r="FX31" s="368"/>
      <c r="FY31" s="368"/>
      <c r="FZ31" s="368"/>
      <c r="GA31" s="368"/>
      <c r="GB31" s="376"/>
      <c r="GC31" s="378"/>
      <c r="GD31" s="378"/>
      <c r="GE31" s="378"/>
      <c r="GF31" s="378"/>
      <c r="GG31" s="386"/>
      <c r="GH31" s="378"/>
      <c r="GI31" s="378"/>
      <c r="GJ31" s="378"/>
      <c r="GK31" s="378"/>
      <c r="GL31" s="382"/>
      <c r="GM31" s="378"/>
      <c r="GN31" s="386"/>
      <c r="GO31" s="382"/>
      <c r="GP31" s="382"/>
      <c r="GQ31" s="382"/>
      <c r="GR31" s="378"/>
    </row>
    <row r="32" spans="1:200" ht="13.5" customHeight="1" x14ac:dyDescent="0.2">
      <c r="A32" s="355"/>
      <c r="B32" s="356"/>
      <c r="C32" s="356"/>
      <c r="D32" s="355"/>
      <c r="E32" s="359"/>
      <c r="F32" s="362"/>
      <c r="G32" s="359"/>
      <c r="H32" s="359"/>
      <c r="I32" s="362"/>
      <c r="J32" s="362"/>
      <c r="K32" s="362"/>
      <c r="L32" s="362"/>
      <c r="M32" s="362"/>
      <c r="N32" s="362"/>
      <c r="O32" s="359"/>
      <c r="P32" s="359"/>
      <c r="Q32" s="358"/>
      <c r="R32" s="362"/>
      <c r="S32" s="362"/>
      <c r="T32" s="358"/>
      <c r="U32" s="358"/>
      <c r="V32" s="362"/>
      <c r="W32" s="362"/>
      <c r="X32" s="362"/>
      <c r="Y32" s="362"/>
      <c r="Z32" s="362"/>
      <c r="AA32" s="362"/>
      <c r="AB32" s="362"/>
      <c r="AC32" s="362"/>
      <c r="AD32" s="362"/>
      <c r="AE32" s="362"/>
      <c r="AF32" s="362"/>
      <c r="AG32" s="362"/>
      <c r="AH32" s="362"/>
      <c r="AI32" s="355"/>
      <c r="AJ32" s="357"/>
      <c r="AK32" s="357"/>
      <c r="AL32" s="357"/>
      <c r="AM32" s="362"/>
      <c r="AN32" s="365"/>
      <c r="AO32" s="363"/>
      <c r="AP32" s="363"/>
      <c r="AQ32" s="363"/>
      <c r="AR32" s="363"/>
      <c r="AS32" s="363"/>
      <c r="AT32" s="363"/>
      <c r="AU32" s="363"/>
      <c r="AV32" s="374"/>
      <c r="AW32" s="363"/>
      <c r="AX32" s="363"/>
      <c r="AY32" s="363"/>
      <c r="AZ32" s="363"/>
      <c r="BA32" s="360"/>
      <c r="BB32" s="362"/>
      <c r="BC32" s="362"/>
      <c r="BD32" s="362"/>
      <c r="BE32" s="362"/>
      <c r="BF32" s="362"/>
      <c r="BG32" s="359"/>
      <c r="BH32" s="359"/>
      <c r="BI32" s="358"/>
      <c r="BJ32" s="358"/>
      <c r="BK32" s="359"/>
      <c r="BL32" s="359"/>
      <c r="BM32" s="359"/>
      <c r="BN32" s="358"/>
      <c r="BO32" s="362"/>
      <c r="BP32" s="362"/>
      <c r="BQ32" s="362"/>
      <c r="BR32" s="362"/>
      <c r="BS32" s="362"/>
      <c r="BT32" s="361"/>
      <c r="BU32" s="361"/>
      <c r="BV32" s="362"/>
      <c r="BW32" s="362"/>
      <c r="BX32" s="361"/>
      <c r="BY32" s="361"/>
      <c r="BZ32" s="361"/>
      <c r="CA32" s="361"/>
      <c r="CB32" s="364"/>
      <c r="CC32" s="364"/>
      <c r="CD32" s="364"/>
      <c r="CE32" s="374"/>
      <c r="CF32" s="388"/>
      <c r="CG32" s="374"/>
      <c r="CH32" s="356"/>
      <c r="CI32" s="356"/>
      <c r="CJ32" s="356"/>
      <c r="CK32" s="356"/>
      <c r="CL32" s="356"/>
      <c r="CM32" s="355"/>
      <c r="CN32" s="356"/>
      <c r="CO32" s="356"/>
      <c r="CP32" s="360"/>
      <c r="CQ32" s="360"/>
      <c r="CR32" s="355"/>
      <c r="CS32" s="355"/>
      <c r="CT32" s="355"/>
      <c r="CU32" s="364"/>
      <c r="CV32" s="364"/>
      <c r="CW32" s="360"/>
      <c r="CX32" s="360"/>
      <c r="CY32" s="361"/>
      <c r="CZ32" s="362"/>
      <c r="DA32" s="362"/>
      <c r="DB32" s="361"/>
      <c r="DC32" s="362"/>
      <c r="DD32" s="362"/>
      <c r="DE32" s="362"/>
      <c r="DF32" s="362"/>
      <c r="DG32" s="361"/>
      <c r="DH32" s="361"/>
      <c r="DI32" s="361"/>
      <c r="DJ32" s="361"/>
      <c r="DK32" s="362"/>
      <c r="DL32" s="361"/>
      <c r="DM32" s="361"/>
      <c r="DN32" s="361"/>
      <c r="DO32" s="358"/>
      <c r="DP32" s="361"/>
      <c r="DQ32" s="361"/>
      <c r="DR32" s="362"/>
      <c r="DS32" s="362"/>
      <c r="DT32" s="358"/>
      <c r="DU32" s="354"/>
      <c r="DV32" s="359"/>
      <c r="DW32" s="359"/>
      <c r="DX32" s="362"/>
      <c r="DY32" s="359"/>
      <c r="DZ32" s="359"/>
      <c r="EA32" s="359"/>
      <c r="EB32" s="358"/>
      <c r="EC32" s="354"/>
      <c r="ED32" s="361"/>
      <c r="EE32" s="361"/>
      <c r="EF32" s="361"/>
      <c r="EG32" s="361"/>
      <c r="EH32" s="373"/>
      <c r="EI32" s="360"/>
      <c r="EJ32" s="374"/>
      <c r="EK32" s="373"/>
      <c r="EL32" s="373"/>
      <c r="EM32" s="373"/>
      <c r="EN32" s="373"/>
      <c r="EO32" s="374"/>
      <c r="EP32" s="374"/>
      <c r="EQ32" s="361"/>
      <c r="ER32" s="374"/>
      <c r="ES32" s="374"/>
      <c r="ET32" s="361"/>
      <c r="EU32" s="361"/>
      <c r="EV32" s="362"/>
      <c r="EW32" s="362"/>
      <c r="EX32" s="361"/>
      <c r="EY32" s="362"/>
      <c r="EZ32" s="362"/>
      <c r="FA32" s="362"/>
      <c r="FB32" s="358"/>
      <c r="FC32" s="358"/>
      <c r="FD32" s="362"/>
      <c r="FE32" s="362"/>
      <c r="FF32" s="361"/>
      <c r="FG32" s="355"/>
      <c r="FH32" s="361"/>
      <c r="FI32" s="356"/>
      <c r="FJ32" s="378"/>
      <c r="FK32" s="378"/>
      <c r="FL32" s="363"/>
      <c r="FM32" s="363"/>
      <c r="FN32" s="378"/>
      <c r="FO32" s="382"/>
      <c r="FP32" s="378"/>
      <c r="FQ32" s="378"/>
      <c r="FR32" s="378"/>
      <c r="FS32" s="376"/>
      <c r="FT32" s="368"/>
      <c r="FU32" s="368"/>
      <c r="FV32" s="368"/>
      <c r="FW32" s="368"/>
      <c r="FX32" s="368"/>
      <c r="FY32" s="368"/>
      <c r="FZ32" s="368"/>
      <c r="GA32" s="368"/>
      <c r="GB32" s="368"/>
      <c r="GC32" s="376"/>
      <c r="GD32" s="378"/>
      <c r="GE32" s="384"/>
      <c r="GF32" s="378"/>
      <c r="GG32" s="378"/>
      <c r="GH32" s="382"/>
      <c r="GI32" s="384"/>
      <c r="GJ32" s="378"/>
      <c r="GK32" s="378"/>
      <c r="GL32" s="383"/>
      <c r="GM32" s="383"/>
      <c r="GN32" s="382"/>
      <c r="GO32" s="378"/>
      <c r="GP32" s="382"/>
      <c r="GQ32" s="382"/>
      <c r="GR32" s="378"/>
    </row>
    <row r="33" spans="1:200" ht="13.5" customHeight="1" x14ac:dyDescent="0.2">
      <c r="A33" s="362"/>
      <c r="B33" s="355"/>
      <c r="C33" s="364"/>
      <c r="D33" s="356"/>
      <c r="E33" s="355"/>
      <c r="F33" s="361"/>
      <c r="G33" s="361"/>
      <c r="H33" s="359"/>
      <c r="I33" s="359"/>
      <c r="J33" s="358"/>
      <c r="K33" s="358"/>
      <c r="L33" s="362"/>
      <c r="M33" s="362"/>
      <c r="N33" s="362"/>
      <c r="O33" s="362"/>
      <c r="P33" s="362"/>
      <c r="Q33" s="359"/>
      <c r="R33" s="359"/>
      <c r="S33" s="361"/>
      <c r="T33" s="362"/>
      <c r="U33" s="362"/>
      <c r="V33" s="358"/>
      <c r="W33" s="358"/>
      <c r="X33" s="362"/>
      <c r="Y33" s="362"/>
      <c r="Z33" s="358"/>
      <c r="AA33" s="362"/>
      <c r="AB33" s="362"/>
      <c r="AC33" s="362"/>
      <c r="AD33" s="362"/>
      <c r="AE33" s="362"/>
      <c r="AF33" s="362"/>
      <c r="AG33" s="362"/>
      <c r="AH33" s="362"/>
      <c r="AI33" s="362"/>
      <c r="AJ33" s="357"/>
      <c r="AK33" s="354"/>
      <c r="AL33" s="357"/>
      <c r="AM33" s="362"/>
      <c r="AN33" s="361"/>
      <c r="AO33" s="367"/>
      <c r="AP33" s="363"/>
      <c r="AQ33" s="363"/>
      <c r="AR33" s="363"/>
      <c r="AS33" s="363"/>
      <c r="AT33" s="363"/>
      <c r="AU33" s="363"/>
      <c r="AV33" s="363"/>
      <c r="AW33" s="363"/>
      <c r="AX33" s="363"/>
      <c r="AY33" s="363"/>
      <c r="AZ33" s="363"/>
      <c r="BA33" s="361"/>
      <c r="BB33" s="362"/>
      <c r="BC33" s="362"/>
      <c r="BD33" s="358"/>
      <c r="BE33" s="358"/>
      <c r="BF33" s="358"/>
      <c r="BG33" s="359"/>
      <c r="BH33" s="362"/>
      <c r="BI33" s="362"/>
      <c r="BJ33" s="361"/>
      <c r="BK33" s="362"/>
      <c r="BL33" s="359"/>
      <c r="BM33" s="359"/>
      <c r="BN33" s="362"/>
      <c r="BO33" s="362"/>
      <c r="BP33" s="362"/>
      <c r="BQ33" s="362"/>
      <c r="BR33" s="361"/>
      <c r="BS33" s="361"/>
      <c r="BT33" s="362"/>
      <c r="BU33" s="358"/>
      <c r="BV33" s="362"/>
      <c r="BW33" s="361"/>
      <c r="BX33" s="361"/>
      <c r="BY33" s="355"/>
      <c r="BZ33" s="364"/>
      <c r="CA33" s="364"/>
      <c r="CB33" s="374"/>
      <c r="CC33" s="364"/>
      <c r="CD33" s="364"/>
      <c r="CE33" s="356"/>
      <c r="CF33" s="356"/>
      <c r="CG33" s="356"/>
      <c r="CH33" s="356"/>
      <c r="CI33" s="356"/>
      <c r="CJ33" s="355"/>
      <c r="CK33" s="358"/>
      <c r="CL33" s="358"/>
      <c r="CM33" s="355"/>
      <c r="CN33" s="356"/>
      <c r="CO33" s="356"/>
      <c r="CP33" s="356"/>
      <c r="CQ33" s="356"/>
      <c r="CR33" s="356"/>
      <c r="CS33" s="356"/>
      <c r="CT33" s="355"/>
      <c r="CU33" s="355"/>
      <c r="CV33" s="361"/>
      <c r="CW33" s="361"/>
      <c r="CX33" s="360"/>
      <c r="CY33" s="355"/>
      <c r="CZ33" s="361"/>
      <c r="DA33" s="362"/>
      <c r="DB33" s="362"/>
      <c r="DC33" s="362"/>
      <c r="DD33" s="361"/>
      <c r="DE33" s="362"/>
      <c r="DF33" s="358"/>
      <c r="DG33" s="359"/>
      <c r="DH33" s="361"/>
      <c r="DI33" s="361"/>
      <c r="DJ33" s="361"/>
      <c r="DK33" s="361"/>
      <c r="DL33" s="358"/>
      <c r="DM33" s="358"/>
      <c r="DN33" s="360"/>
      <c r="DO33" s="360"/>
      <c r="DP33" s="361"/>
      <c r="DQ33" s="361"/>
      <c r="DR33" s="362"/>
      <c r="DS33" s="361"/>
      <c r="DT33" s="362"/>
      <c r="DU33" s="358"/>
      <c r="DV33" s="359"/>
      <c r="DW33" s="359"/>
      <c r="DX33" s="359"/>
      <c r="DY33" s="359"/>
      <c r="DZ33" s="359"/>
      <c r="EA33" s="359"/>
      <c r="EB33" s="358"/>
      <c r="EC33" s="359"/>
      <c r="ED33" s="354"/>
      <c r="EE33" s="361"/>
      <c r="EF33" s="361"/>
      <c r="EG33" s="360"/>
      <c r="EH33" s="373"/>
      <c r="EI33" s="374"/>
      <c r="EJ33" s="374"/>
      <c r="EK33" s="374"/>
      <c r="EL33" s="374"/>
      <c r="EM33" s="361"/>
      <c r="EN33" s="361"/>
      <c r="EO33" s="373"/>
      <c r="EP33" s="361"/>
      <c r="EQ33" s="374"/>
      <c r="ER33" s="373"/>
      <c r="ES33" s="373"/>
      <c r="ET33" s="373"/>
      <c r="EU33" s="360"/>
      <c r="EV33" s="361"/>
      <c r="EW33" s="362"/>
      <c r="EX33" s="362"/>
      <c r="EY33" s="361"/>
      <c r="EZ33" s="362"/>
      <c r="FA33" s="362"/>
      <c r="FB33" s="361"/>
      <c r="FC33" s="359"/>
      <c r="FD33" s="362"/>
      <c r="FE33" s="362"/>
      <c r="FF33" s="361"/>
      <c r="FG33" s="355"/>
      <c r="FH33" s="356"/>
      <c r="FI33" s="356"/>
      <c r="FJ33" s="378"/>
      <c r="FK33" s="378"/>
      <c r="FL33" s="378"/>
      <c r="FM33" s="363"/>
      <c r="FN33" s="378"/>
      <c r="FO33" s="378"/>
      <c r="FP33" s="378"/>
      <c r="FQ33" s="378"/>
      <c r="FR33" s="378"/>
      <c r="FS33" s="378"/>
      <c r="FT33" s="376"/>
      <c r="FU33" s="368"/>
      <c r="FV33" s="368"/>
      <c r="FW33" s="368"/>
      <c r="FX33" s="368"/>
      <c r="FY33" s="368"/>
      <c r="FZ33" s="368"/>
      <c r="GA33" s="368"/>
      <c r="GB33" s="368"/>
      <c r="GC33" s="368"/>
      <c r="GD33" s="376"/>
      <c r="GE33" s="376"/>
      <c r="GF33" s="378"/>
      <c r="GG33" s="378"/>
      <c r="GH33" s="378"/>
      <c r="GI33" s="382"/>
      <c r="GJ33" s="384"/>
      <c r="GK33" s="383"/>
      <c r="GL33" s="368"/>
      <c r="GM33" s="379"/>
      <c r="GN33" s="376"/>
      <c r="GO33" s="378"/>
      <c r="GP33" s="382"/>
      <c r="GQ33" s="378"/>
      <c r="GR33" s="364"/>
    </row>
    <row r="34" spans="1:200" ht="13.5" customHeight="1" x14ac:dyDescent="0.2">
      <c r="A34" s="355"/>
      <c r="B34" s="362"/>
      <c r="C34" s="358"/>
      <c r="D34" s="356"/>
      <c r="E34" s="356"/>
      <c r="F34" s="360"/>
      <c r="G34" s="361"/>
      <c r="H34" s="361"/>
      <c r="I34" s="359"/>
      <c r="J34" s="358"/>
      <c r="K34" s="358"/>
      <c r="L34" s="362"/>
      <c r="M34" s="362"/>
      <c r="N34" s="362"/>
      <c r="O34" s="362"/>
      <c r="P34" s="362"/>
      <c r="Q34" s="362"/>
      <c r="R34" s="359"/>
      <c r="S34" s="359"/>
      <c r="T34" s="362"/>
      <c r="U34" s="362"/>
      <c r="V34" s="362"/>
      <c r="W34" s="362"/>
      <c r="X34" s="362"/>
      <c r="Y34" s="362"/>
      <c r="Z34" s="362"/>
      <c r="AA34" s="362"/>
      <c r="AB34" s="362"/>
      <c r="AC34" s="362"/>
      <c r="AD34" s="362"/>
      <c r="AE34" s="362"/>
      <c r="AF34" s="362"/>
      <c r="AG34" s="362"/>
      <c r="AH34" s="362"/>
      <c r="AI34" s="362"/>
      <c r="AJ34" s="357"/>
      <c r="AK34" s="354"/>
      <c r="AL34" s="357"/>
      <c r="AM34" s="362"/>
      <c r="AN34" s="362"/>
      <c r="AO34" s="361"/>
      <c r="AP34" s="355"/>
      <c r="AQ34" s="364"/>
      <c r="AR34" s="363"/>
      <c r="AS34" s="363"/>
      <c r="AT34" s="363"/>
      <c r="AU34" s="363"/>
      <c r="AV34" s="363"/>
      <c r="AW34" s="364"/>
      <c r="AX34" s="356"/>
      <c r="AY34" s="364"/>
      <c r="AZ34" s="362"/>
      <c r="BA34" s="362"/>
      <c r="BB34" s="362"/>
      <c r="BC34" s="362"/>
      <c r="BD34" s="362"/>
      <c r="BE34" s="362"/>
      <c r="BF34" s="359"/>
      <c r="BG34" s="359"/>
      <c r="BH34" s="362"/>
      <c r="BI34" s="362"/>
      <c r="BJ34" s="362"/>
      <c r="BK34" s="362"/>
      <c r="BL34" s="359"/>
      <c r="BM34" s="362"/>
      <c r="BN34" s="358"/>
      <c r="BO34" s="362"/>
      <c r="BP34" s="361"/>
      <c r="BQ34" s="361"/>
      <c r="BR34" s="362"/>
      <c r="BS34" s="362"/>
      <c r="BT34" s="355"/>
      <c r="BU34" s="358"/>
      <c r="BV34" s="355"/>
      <c r="BW34" s="362"/>
      <c r="BX34" s="355"/>
      <c r="BY34" s="364"/>
      <c r="BZ34" s="364"/>
      <c r="CA34" s="364"/>
      <c r="CB34" s="364"/>
      <c r="CC34" s="356"/>
      <c r="CD34" s="356"/>
      <c r="CE34" s="356"/>
      <c r="CF34" s="356"/>
      <c r="CG34" s="356"/>
      <c r="CH34" s="356"/>
      <c r="CI34" s="356"/>
      <c r="CJ34" s="360"/>
      <c r="CK34" s="356"/>
      <c r="CL34" s="358"/>
      <c r="CM34" s="358"/>
      <c r="CN34" s="358"/>
      <c r="CO34" s="358"/>
      <c r="CP34" s="356"/>
      <c r="CQ34" s="356"/>
      <c r="CR34" s="356"/>
      <c r="CS34" s="356"/>
      <c r="CT34" s="356"/>
      <c r="CU34" s="361"/>
      <c r="CV34" s="355"/>
      <c r="CW34" s="361"/>
      <c r="CX34" s="361"/>
      <c r="CY34" s="362"/>
      <c r="CZ34" s="362"/>
      <c r="DA34" s="361"/>
      <c r="DB34" s="361"/>
      <c r="DC34" s="355"/>
      <c r="DD34" s="355"/>
      <c r="DE34" s="355"/>
      <c r="DF34" s="359"/>
      <c r="DG34" s="359"/>
      <c r="DH34" s="359"/>
      <c r="DI34" s="359"/>
      <c r="DJ34" s="362"/>
      <c r="DK34" s="362"/>
      <c r="DL34" s="362"/>
      <c r="DM34" s="362"/>
      <c r="DN34" s="364"/>
      <c r="DO34" s="364"/>
      <c r="DP34" s="364"/>
      <c r="DQ34" s="361"/>
      <c r="DR34" s="361"/>
      <c r="DS34" s="362"/>
      <c r="DT34" s="361"/>
      <c r="DU34" s="362"/>
      <c r="DV34" s="358"/>
      <c r="DW34" s="359"/>
      <c r="DX34" s="359"/>
      <c r="DY34" s="359"/>
      <c r="DZ34" s="359"/>
      <c r="EA34" s="359"/>
      <c r="EB34" s="357"/>
      <c r="EC34" s="358"/>
      <c r="ED34" s="357"/>
      <c r="EE34" s="361"/>
      <c r="EF34" s="361"/>
      <c r="EG34" s="373"/>
      <c r="EH34" s="373"/>
      <c r="EI34" s="360"/>
      <c r="EJ34" s="374"/>
      <c r="EK34" s="374"/>
      <c r="EL34" s="373"/>
      <c r="EM34" s="361"/>
      <c r="EN34" s="373"/>
      <c r="EO34" s="372"/>
      <c r="EP34" s="373"/>
      <c r="EQ34" s="373"/>
      <c r="ER34" s="373"/>
      <c r="ES34" s="374"/>
      <c r="ET34" s="361"/>
      <c r="EU34" s="364"/>
      <c r="EV34" s="361"/>
      <c r="EW34" s="361"/>
      <c r="EX34" s="362"/>
      <c r="EY34" s="362"/>
      <c r="EZ34" s="361"/>
      <c r="FA34" s="362"/>
      <c r="FB34" s="361"/>
      <c r="FC34" s="359"/>
      <c r="FD34" s="362"/>
      <c r="FE34" s="362"/>
      <c r="FF34" s="358"/>
      <c r="FG34" s="360"/>
      <c r="FH34" s="355"/>
      <c r="FI34" s="356"/>
      <c r="FJ34" s="378"/>
      <c r="FK34" s="378"/>
      <c r="FL34" s="378"/>
      <c r="FM34" s="363"/>
      <c r="FN34" s="378"/>
      <c r="FO34" s="378"/>
      <c r="FP34" s="378"/>
      <c r="FQ34" s="378"/>
      <c r="FR34" s="378"/>
      <c r="FS34" s="378"/>
      <c r="FT34" s="378"/>
      <c r="FU34" s="376"/>
      <c r="FV34" s="368"/>
      <c r="FW34" s="368"/>
      <c r="FX34" s="368"/>
      <c r="FY34" s="368"/>
      <c r="FZ34" s="368"/>
      <c r="GA34" s="368"/>
      <c r="GB34" s="368"/>
      <c r="GC34" s="368"/>
      <c r="GD34" s="368"/>
      <c r="GE34" s="368"/>
      <c r="GF34" s="376"/>
      <c r="GG34" s="376"/>
      <c r="GH34" s="376"/>
      <c r="GI34" s="376"/>
      <c r="GJ34" s="376"/>
      <c r="GK34" s="379"/>
      <c r="GL34" s="368"/>
      <c r="GM34" s="368"/>
      <c r="GN34" s="376"/>
      <c r="GO34" s="378"/>
      <c r="GP34" s="378"/>
      <c r="GQ34" s="364"/>
      <c r="GR34" s="374"/>
    </row>
    <row r="35" spans="1:200" ht="13.5" customHeight="1" x14ac:dyDescent="0.2">
      <c r="A35" s="355"/>
      <c r="B35" s="355"/>
      <c r="C35" s="361"/>
      <c r="D35" s="356"/>
      <c r="E35" s="356"/>
      <c r="F35" s="355"/>
      <c r="G35" s="360"/>
      <c r="H35" s="361"/>
      <c r="I35" s="362"/>
      <c r="J35" s="359"/>
      <c r="K35" s="358"/>
      <c r="L35" s="359"/>
      <c r="M35" s="362"/>
      <c r="N35" s="362"/>
      <c r="O35" s="362"/>
      <c r="P35" s="362"/>
      <c r="Q35" s="362"/>
      <c r="R35" s="362"/>
      <c r="S35" s="359"/>
      <c r="T35" s="359"/>
      <c r="U35" s="362"/>
      <c r="V35" s="362"/>
      <c r="W35" s="362"/>
      <c r="X35" s="362"/>
      <c r="Y35" s="362"/>
      <c r="Z35" s="362"/>
      <c r="AA35" s="362"/>
      <c r="AB35" s="362"/>
      <c r="AC35" s="362"/>
      <c r="AD35" s="362"/>
      <c r="AE35" s="362"/>
      <c r="AF35" s="362"/>
      <c r="AG35" s="362"/>
      <c r="AH35" s="362"/>
      <c r="AI35" s="362"/>
      <c r="AJ35" s="354"/>
      <c r="AK35" s="357"/>
      <c r="AL35" s="359"/>
      <c r="AM35" s="362"/>
      <c r="AN35" s="362"/>
      <c r="AO35" s="362"/>
      <c r="AP35" s="362"/>
      <c r="AQ35" s="362"/>
      <c r="AR35" s="364"/>
      <c r="AS35" s="361"/>
      <c r="AT35" s="361"/>
      <c r="AU35" s="361"/>
      <c r="AV35" s="361"/>
      <c r="AW35" s="361"/>
      <c r="AX35" s="362"/>
      <c r="AY35" s="362"/>
      <c r="AZ35" s="362"/>
      <c r="BA35" s="362"/>
      <c r="BB35" s="362"/>
      <c r="BC35" s="362"/>
      <c r="BD35" s="362"/>
      <c r="BE35" s="359"/>
      <c r="BF35" s="359"/>
      <c r="BG35" s="359"/>
      <c r="BH35" s="359"/>
      <c r="BI35" s="358"/>
      <c r="BJ35" s="361"/>
      <c r="BK35" s="359"/>
      <c r="BL35" s="362"/>
      <c r="BM35" s="358"/>
      <c r="BN35" s="362"/>
      <c r="BO35" s="361"/>
      <c r="BP35" s="361"/>
      <c r="BQ35" s="362"/>
      <c r="BR35" s="361"/>
      <c r="BS35" s="361"/>
      <c r="BT35" s="361"/>
      <c r="BU35" s="362"/>
      <c r="BV35" s="362"/>
      <c r="BW35" s="362"/>
      <c r="BX35" s="361"/>
      <c r="BY35" s="355"/>
      <c r="BZ35" s="356"/>
      <c r="CA35" s="356"/>
      <c r="CB35" s="356"/>
      <c r="CC35" s="356"/>
      <c r="CD35" s="356"/>
      <c r="CE35" s="360"/>
      <c r="CF35" s="361"/>
      <c r="CG35" s="361"/>
      <c r="CH35" s="361"/>
      <c r="CI35" s="362"/>
      <c r="CJ35" s="361"/>
      <c r="CK35" s="355"/>
      <c r="CL35" s="360"/>
      <c r="CM35" s="364"/>
      <c r="CN35" s="364"/>
      <c r="CO35" s="364"/>
      <c r="CP35" s="364"/>
      <c r="CQ35" s="356"/>
      <c r="CR35" s="364"/>
      <c r="CS35" s="356"/>
      <c r="CT35" s="356"/>
      <c r="CU35" s="356"/>
      <c r="CV35" s="361"/>
      <c r="CW35" s="361"/>
      <c r="CX35" s="362"/>
      <c r="CY35" s="362"/>
      <c r="CZ35" s="362"/>
      <c r="DA35" s="362"/>
      <c r="DB35" s="358"/>
      <c r="DC35" s="361"/>
      <c r="DD35" s="361"/>
      <c r="DE35" s="361"/>
      <c r="DF35" s="362"/>
      <c r="DG35" s="361"/>
      <c r="DH35" s="359"/>
      <c r="DI35" s="359"/>
      <c r="DJ35" s="359"/>
      <c r="DK35" s="362"/>
      <c r="DL35" s="362"/>
      <c r="DM35" s="362"/>
      <c r="DN35" s="362"/>
      <c r="DO35" s="360"/>
      <c r="DP35" s="360"/>
      <c r="DQ35" s="364"/>
      <c r="DR35" s="362"/>
      <c r="DS35" s="361"/>
      <c r="DT35" s="362"/>
      <c r="DU35" s="362"/>
      <c r="DV35" s="358"/>
      <c r="DW35" s="359"/>
      <c r="DX35" s="359"/>
      <c r="DY35" s="359"/>
      <c r="DZ35" s="359"/>
      <c r="EA35" s="359"/>
      <c r="EB35" s="359"/>
      <c r="EC35" s="359"/>
      <c r="ED35" s="358"/>
      <c r="EE35" s="361"/>
      <c r="EF35" s="360"/>
      <c r="EG35" s="373"/>
      <c r="EH35" s="360"/>
      <c r="EI35" s="374"/>
      <c r="EJ35" s="374"/>
      <c r="EK35" s="374"/>
      <c r="EL35" s="373"/>
      <c r="EM35" s="389"/>
      <c r="EN35" s="389"/>
      <c r="EO35" s="389"/>
      <c r="EP35" s="389"/>
      <c r="EQ35" s="360"/>
      <c r="ER35" s="374"/>
      <c r="ES35" s="374"/>
      <c r="ET35" s="355"/>
      <c r="EU35" s="361"/>
      <c r="EV35" s="360"/>
      <c r="EW35" s="362"/>
      <c r="EX35" s="362"/>
      <c r="EY35" s="362"/>
      <c r="EZ35" s="362"/>
      <c r="FA35" s="362"/>
      <c r="FB35" s="362"/>
      <c r="FC35" s="361"/>
      <c r="FD35" s="358"/>
      <c r="FE35" s="362"/>
      <c r="FF35" s="362"/>
      <c r="FG35" s="360"/>
      <c r="FH35" s="355"/>
      <c r="FI35" s="360"/>
      <c r="FJ35" s="356"/>
      <c r="FK35" s="378"/>
      <c r="FL35" s="378"/>
      <c r="FM35" s="378"/>
      <c r="FN35" s="356"/>
      <c r="FO35" s="378"/>
      <c r="FP35" s="378"/>
      <c r="FQ35" s="378"/>
      <c r="FR35" s="378"/>
      <c r="FS35" s="378"/>
      <c r="FT35" s="378"/>
      <c r="FU35" s="378"/>
      <c r="FV35" s="376"/>
      <c r="FW35" s="368"/>
      <c r="FX35" s="368"/>
      <c r="FY35" s="368"/>
      <c r="FZ35" s="368"/>
      <c r="GA35" s="368"/>
      <c r="GB35" s="368"/>
      <c r="GC35" s="368"/>
      <c r="GD35" s="368"/>
      <c r="GE35" s="368"/>
      <c r="GF35" s="368"/>
      <c r="GG35" s="368"/>
      <c r="GH35" s="368"/>
      <c r="GI35" s="368"/>
      <c r="GJ35" s="368"/>
      <c r="GK35" s="368"/>
      <c r="GL35" s="368"/>
      <c r="GM35" s="379"/>
      <c r="GN35" s="383"/>
      <c r="GO35" s="378"/>
      <c r="GP35" s="378"/>
      <c r="GQ35" s="373"/>
      <c r="GR35" s="378"/>
    </row>
    <row r="36" spans="1:200" ht="13.5" customHeight="1" x14ac:dyDescent="0.2">
      <c r="A36" s="355"/>
      <c r="B36" s="358"/>
      <c r="C36" s="361"/>
      <c r="D36" s="362"/>
      <c r="E36" s="356"/>
      <c r="F36" s="356"/>
      <c r="G36" s="360"/>
      <c r="H36" s="361"/>
      <c r="I36" s="361"/>
      <c r="J36" s="362"/>
      <c r="K36" s="359"/>
      <c r="L36" s="359"/>
      <c r="M36" s="357"/>
      <c r="N36" s="359"/>
      <c r="O36" s="362"/>
      <c r="P36" s="362"/>
      <c r="Q36" s="358"/>
      <c r="R36" s="362"/>
      <c r="S36" s="362"/>
      <c r="T36" s="359"/>
      <c r="U36" s="359"/>
      <c r="V36" s="359"/>
      <c r="W36" s="362"/>
      <c r="X36" s="362"/>
      <c r="Y36" s="362"/>
      <c r="Z36" s="362"/>
      <c r="AA36" s="362"/>
      <c r="AB36" s="362"/>
      <c r="AC36" s="359"/>
      <c r="AD36" s="358"/>
      <c r="AE36" s="362"/>
      <c r="AF36" s="362"/>
      <c r="AG36" s="362"/>
      <c r="AH36" s="362"/>
      <c r="AI36" s="362"/>
      <c r="AJ36" s="354"/>
      <c r="AK36" s="357"/>
      <c r="AL36" s="357"/>
      <c r="AM36" s="362"/>
      <c r="AN36" s="362"/>
      <c r="AO36" s="362"/>
      <c r="AP36" s="362"/>
      <c r="AQ36" s="362"/>
      <c r="AR36" s="362"/>
      <c r="AS36" s="362"/>
      <c r="AT36" s="362"/>
      <c r="AU36" s="362"/>
      <c r="AV36" s="362"/>
      <c r="AW36" s="362"/>
      <c r="AX36" s="362"/>
      <c r="AY36" s="362"/>
      <c r="AZ36" s="362"/>
      <c r="BA36" s="362"/>
      <c r="BB36" s="362"/>
      <c r="BC36" s="362"/>
      <c r="BD36" s="359"/>
      <c r="BE36" s="362"/>
      <c r="BF36" s="359"/>
      <c r="BG36" s="359"/>
      <c r="BH36" s="361"/>
      <c r="BI36" s="361"/>
      <c r="BJ36" s="359"/>
      <c r="BK36" s="362"/>
      <c r="BL36" s="358"/>
      <c r="BM36" s="358"/>
      <c r="BN36" s="361"/>
      <c r="BO36" s="361"/>
      <c r="BP36" s="362"/>
      <c r="BQ36" s="355"/>
      <c r="BR36" s="361"/>
      <c r="BS36" s="361"/>
      <c r="BT36" s="361"/>
      <c r="BU36" s="362"/>
      <c r="BV36" s="361"/>
      <c r="BW36" s="355"/>
      <c r="BX36" s="355"/>
      <c r="BY36" s="356"/>
      <c r="BZ36" s="356"/>
      <c r="CA36" s="356"/>
      <c r="CB36" s="364"/>
      <c r="CC36" s="364"/>
      <c r="CD36" s="364"/>
      <c r="CE36" s="355"/>
      <c r="CF36" s="362"/>
      <c r="CG36" s="362"/>
      <c r="CH36" s="362"/>
      <c r="CI36" s="362"/>
      <c r="CJ36" s="362"/>
      <c r="CK36" s="362"/>
      <c r="CL36" s="362"/>
      <c r="CM36" s="362"/>
      <c r="CN36" s="362"/>
      <c r="CO36" s="355"/>
      <c r="CP36" s="355"/>
      <c r="CQ36" s="364"/>
      <c r="CR36" s="355"/>
      <c r="CS36" s="355"/>
      <c r="CT36" s="360"/>
      <c r="CU36" s="361"/>
      <c r="CV36" s="355"/>
      <c r="CW36" s="361"/>
      <c r="CX36" s="361"/>
      <c r="CY36" s="361"/>
      <c r="CZ36" s="361"/>
      <c r="DA36" s="361"/>
      <c r="DB36" s="359"/>
      <c r="DC36" s="359"/>
      <c r="DD36" s="359"/>
      <c r="DE36" s="362"/>
      <c r="DF36" s="361"/>
      <c r="DG36" s="362"/>
      <c r="DH36" s="362"/>
      <c r="DI36" s="362"/>
      <c r="DJ36" s="358"/>
      <c r="DK36" s="358"/>
      <c r="DL36" s="361"/>
      <c r="DM36" s="361"/>
      <c r="DN36" s="361"/>
      <c r="DO36" s="361"/>
      <c r="DP36" s="355"/>
      <c r="DQ36" s="360"/>
      <c r="DR36" s="361"/>
      <c r="DS36" s="362"/>
      <c r="DT36" s="361"/>
      <c r="DU36" s="361"/>
      <c r="DV36" s="362"/>
      <c r="DW36" s="361"/>
      <c r="DX36" s="359"/>
      <c r="DY36" s="359"/>
      <c r="DZ36" s="359"/>
      <c r="EA36" s="359"/>
      <c r="EB36" s="359"/>
      <c r="EC36" s="359"/>
      <c r="ED36" s="358"/>
      <c r="EE36" s="361"/>
      <c r="EF36" s="361"/>
      <c r="EG36" s="374"/>
      <c r="EH36" s="374"/>
      <c r="EI36" s="374"/>
      <c r="EJ36" s="374"/>
      <c r="EK36" s="360"/>
      <c r="EL36" s="389"/>
      <c r="EM36" s="389"/>
      <c r="EN36" s="389"/>
      <c r="EO36" s="389"/>
      <c r="EP36" s="389"/>
      <c r="EQ36" s="374"/>
      <c r="ER36" s="360"/>
      <c r="ES36" s="374"/>
      <c r="ET36" s="373"/>
      <c r="EU36" s="362"/>
      <c r="EV36" s="360"/>
      <c r="EW36" s="362"/>
      <c r="EX36" s="362"/>
      <c r="EY36" s="362"/>
      <c r="EZ36" s="359"/>
      <c r="FA36" s="358"/>
      <c r="FB36" s="362"/>
      <c r="FC36" s="362"/>
      <c r="FD36" s="358"/>
      <c r="FE36" s="362"/>
      <c r="FF36" s="362"/>
      <c r="FG36" s="361"/>
      <c r="FH36" s="370"/>
      <c r="FI36" s="356"/>
      <c r="FJ36" s="356"/>
      <c r="FK36" s="378"/>
      <c r="FL36" s="378"/>
      <c r="FM36" s="378"/>
      <c r="FN36" s="356"/>
      <c r="FO36" s="378"/>
      <c r="FP36" s="378"/>
      <c r="FQ36" s="378"/>
      <c r="FR36" s="378"/>
      <c r="FS36" s="382"/>
      <c r="FT36" s="378"/>
      <c r="FU36" s="378"/>
      <c r="FV36" s="376"/>
      <c r="FW36" s="368"/>
      <c r="FX36" s="368"/>
      <c r="FY36" s="368"/>
      <c r="FZ36" s="368"/>
      <c r="GA36" s="368"/>
      <c r="GB36" s="368"/>
      <c r="GC36" s="368"/>
      <c r="GD36" s="368"/>
      <c r="GE36" s="368"/>
      <c r="GF36" s="368"/>
      <c r="GG36" s="368"/>
      <c r="GH36" s="368"/>
      <c r="GI36" s="368"/>
      <c r="GJ36" s="368"/>
      <c r="GK36" s="368"/>
      <c r="GL36" s="368"/>
      <c r="GM36" s="376"/>
      <c r="GN36" s="378"/>
      <c r="GO36" s="371"/>
      <c r="GP36" s="373"/>
      <c r="GQ36" s="378"/>
      <c r="GR36" s="382"/>
    </row>
    <row r="37" spans="1:200" ht="13.5" customHeight="1" x14ac:dyDescent="0.2">
      <c r="A37" s="355"/>
      <c r="B37" s="361"/>
      <c r="C37" s="355"/>
      <c r="D37" s="361"/>
      <c r="E37" s="355"/>
      <c r="F37" s="356"/>
      <c r="G37" s="356"/>
      <c r="H37" s="360"/>
      <c r="I37" s="361"/>
      <c r="J37" s="361"/>
      <c r="K37" s="362"/>
      <c r="L37" s="359"/>
      <c r="M37" s="359"/>
      <c r="N37" s="354"/>
      <c r="O37" s="357"/>
      <c r="P37" s="359"/>
      <c r="Q37" s="359"/>
      <c r="R37" s="358"/>
      <c r="S37" s="362"/>
      <c r="T37" s="362"/>
      <c r="U37" s="362"/>
      <c r="V37" s="359"/>
      <c r="W37" s="362"/>
      <c r="X37" s="362"/>
      <c r="Y37" s="362"/>
      <c r="Z37" s="362"/>
      <c r="AA37" s="362"/>
      <c r="AB37" s="362"/>
      <c r="AC37" s="358"/>
      <c r="AD37" s="358"/>
      <c r="AE37" s="362"/>
      <c r="AF37" s="362"/>
      <c r="AG37" s="362"/>
      <c r="AH37" s="362"/>
      <c r="AI37" s="362"/>
      <c r="AJ37" s="354"/>
      <c r="AK37" s="354"/>
      <c r="AL37" s="357"/>
      <c r="AM37" s="362"/>
      <c r="AN37" s="362"/>
      <c r="AO37" s="362"/>
      <c r="AP37" s="362"/>
      <c r="AQ37" s="362"/>
      <c r="AR37" s="362"/>
      <c r="AS37" s="362"/>
      <c r="AT37" s="362"/>
      <c r="AU37" s="362"/>
      <c r="AV37" s="362"/>
      <c r="AW37" s="362"/>
      <c r="AX37" s="362"/>
      <c r="AY37" s="362"/>
      <c r="AZ37" s="362"/>
      <c r="BA37" s="362"/>
      <c r="BB37" s="359"/>
      <c r="BC37" s="357"/>
      <c r="BD37" s="362"/>
      <c r="BE37" s="362"/>
      <c r="BF37" s="359"/>
      <c r="BG37" s="362"/>
      <c r="BH37" s="359"/>
      <c r="BI37" s="359"/>
      <c r="BJ37" s="358"/>
      <c r="BK37" s="355"/>
      <c r="BL37" s="358"/>
      <c r="BM37" s="361"/>
      <c r="BN37" s="361"/>
      <c r="BO37" s="361"/>
      <c r="BP37" s="361"/>
      <c r="BQ37" s="361"/>
      <c r="BR37" s="361"/>
      <c r="BS37" s="361"/>
      <c r="BT37" s="361"/>
      <c r="BU37" s="355"/>
      <c r="BV37" s="355"/>
      <c r="BW37" s="361"/>
      <c r="BX37" s="355"/>
      <c r="BY37" s="356"/>
      <c r="BZ37" s="364"/>
      <c r="CA37" s="364"/>
      <c r="CB37" s="356"/>
      <c r="CC37" s="360"/>
      <c r="CD37" s="360"/>
      <c r="CE37" s="387"/>
      <c r="CF37" s="362"/>
      <c r="CG37" s="362"/>
      <c r="CH37" s="362"/>
      <c r="CI37" s="362"/>
      <c r="CJ37" s="362"/>
      <c r="CK37" s="361"/>
      <c r="CL37" s="361"/>
      <c r="CM37" s="362"/>
      <c r="CN37" s="362"/>
      <c r="CO37" s="362"/>
      <c r="CP37" s="362"/>
      <c r="CQ37" s="358"/>
      <c r="CR37" s="362"/>
      <c r="CS37" s="362"/>
      <c r="CT37" s="362"/>
      <c r="CU37" s="355"/>
      <c r="CV37" s="362"/>
      <c r="CW37" s="362"/>
      <c r="CX37" s="355"/>
      <c r="CY37" s="361"/>
      <c r="CZ37" s="360"/>
      <c r="DA37" s="364"/>
      <c r="DB37" s="364"/>
      <c r="DC37" s="364"/>
      <c r="DD37" s="358"/>
      <c r="DE37" s="359"/>
      <c r="DF37" s="359"/>
      <c r="DG37" s="361"/>
      <c r="DH37" s="362"/>
      <c r="DI37" s="362"/>
      <c r="DJ37" s="362"/>
      <c r="DK37" s="362"/>
      <c r="DL37" s="358"/>
      <c r="DM37" s="359"/>
      <c r="DN37" s="360"/>
      <c r="DO37" s="364"/>
      <c r="DP37" s="361"/>
      <c r="DQ37" s="359"/>
      <c r="DR37" s="360"/>
      <c r="DS37" s="362"/>
      <c r="DT37" s="362"/>
      <c r="DU37" s="361"/>
      <c r="DV37" s="362"/>
      <c r="DW37" s="362"/>
      <c r="DX37" s="359"/>
      <c r="DY37" s="359"/>
      <c r="DZ37" s="358"/>
      <c r="EA37" s="359"/>
      <c r="EB37" s="357"/>
      <c r="EC37" s="362"/>
      <c r="ED37" s="362"/>
      <c r="EE37" s="361"/>
      <c r="EF37" s="356"/>
      <c r="EG37" s="374"/>
      <c r="EH37" s="360"/>
      <c r="EI37" s="374"/>
      <c r="EJ37" s="373"/>
      <c r="EK37" s="374"/>
      <c r="EL37" s="389"/>
      <c r="EM37" s="368"/>
      <c r="EN37" s="368"/>
      <c r="EO37" s="368"/>
      <c r="EP37" s="389"/>
      <c r="EQ37" s="374"/>
      <c r="ER37" s="374"/>
      <c r="ES37" s="373"/>
      <c r="ET37" s="373"/>
      <c r="EU37" s="374"/>
      <c r="EV37" s="361"/>
      <c r="EW37" s="361"/>
      <c r="EX37" s="362"/>
      <c r="EY37" s="362"/>
      <c r="EZ37" s="362"/>
      <c r="FA37" s="358"/>
      <c r="FB37" s="358"/>
      <c r="FC37" s="362"/>
      <c r="FD37" s="362"/>
      <c r="FE37" s="362"/>
      <c r="FF37" s="361"/>
      <c r="FG37" s="362"/>
      <c r="FH37" s="361"/>
      <c r="FI37" s="355"/>
      <c r="FJ37" s="361"/>
      <c r="FK37" s="355"/>
      <c r="FL37" s="378"/>
      <c r="FM37" s="378"/>
      <c r="FN37" s="378"/>
      <c r="FO37" s="355"/>
      <c r="FP37" s="378"/>
      <c r="FQ37" s="378"/>
      <c r="FR37" s="378"/>
      <c r="FS37" s="378"/>
      <c r="FT37" s="378"/>
      <c r="FU37" s="378"/>
      <c r="FV37" s="378"/>
      <c r="FW37" s="376"/>
      <c r="FX37" s="368"/>
      <c r="FY37" s="368"/>
      <c r="FZ37" s="368"/>
      <c r="GA37" s="368"/>
      <c r="GB37" s="368"/>
      <c r="GC37" s="368"/>
      <c r="GD37" s="368"/>
      <c r="GE37" s="368"/>
      <c r="GF37" s="368"/>
      <c r="GG37" s="368"/>
      <c r="GH37" s="368"/>
      <c r="GI37" s="368"/>
      <c r="GJ37" s="368"/>
      <c r="GK37" s="379"/>
      <c r="GL37" s="376"/>
      <c r="GM37" s="382"/>
      <c r="GN37" s="382"/>
      <c r="GO37" s="378"/>
      <c r="GP37" s="378"/>
      <c r="GQ37" s="378"/>
      <c r="GR37" s="374"/>
    </row>
    <row r="38" spans="1:200" ht="13.5" customHeight="1" x14ac:dyDescent="0.2">
      <c r="A38" s="355"/>
      <c r="B38" s="355"/>
      <c r="C38" s="355"/>
      <c r="D38" s="355"/>
      <c r="E38" s="355"/>
      <c r="F38" s="360"/>
      <c r="G38" s="356"/>
      <c r="H38" s="356"/>
      <c r="I38" s="361"/>
      <c r="J38" s="361"/>
      <c r="K38" s="362"/>
      <c r="L38" s="362"/>
      <c r="M38" s="358"/>
      <c r="N38" s="359"/>
      <c r="O38" s="357"/>
      <c r="P38" s="359"/>
      <c r="Q38" s="358"/>
      <c r="R38" s="354"/>
      <c r="S38" s="354"/>
      <c r="T38" s="362"/>
      <c r="U38" s="362"/>
      <c r="V38" s="362"/>
      <c r="W38" s="362"/>
      <c r="X38" s="362"/>
      <c r="Y38" s="362"/>
      <c r="Z38" s="362"/>
      <c r="AA38" s="362"/>
      <c r="AB38" s="362"/>
      <c r="AC38" s="362"/>
      <c r="AD38" s="362"/>
      <c r="AE38" s="362"/>
      <c r="AF38" s="362"/>
      <c r="AG38" s="358"/>
      <c r="AH38" s="358"/>
      <c r="AI38" s="362"/>
      <c r="AJ38" s="354"/>
      <c r="AK38" s="354"/>
      <c r="AL38" s="357"/>
      <c r="AM38" s="358"/>
      <c r="AN38" s="362"/>
      <c r="AO38" s="362"/>
      <c r="AP38" s="362"/>
      <c r="AQ38" s="362"/>
      <c r="AR38" s="362"/>
      <c r="AS38" s="362"/>
      <c r="AT38" s="358"/>
      <c r="AU38" s="358"/>
      <c r="AV38" s="362"/>
      <c r="AW38" s="362"/>
      <c r="AX38" s="362"/>
      <c r="AY38" s="358"/>
      <c r="AZ38" s="359"/>
      <c r="BA38" s="359"/>
      <c r="BB38" s="359"/>
      <c r="BC38" s="362"/>
      <c r="BD38" s="362"/>
      <c r="BE38" s="362"/>
      <c r="BF38" s="362"/>
      <c r="BG38" s="362"/>
      <c r="BH38" s="358"/>
      <c r="BI38" s="361"/>
      <c r="BJ38" s="361"/>
      <c r="BK38" s="358"/>
      <c r="BL38" s="358"/>
      <c r="BM38" s="360"/>
      <c r="BN38" s="360"/>
      <c r="BO38" s="355"/>
      <c r="BP38" s="361"/>
      <c r="BQ38" s="361"/>
      <c r="BR38" s="355"/>
      <c r="BS38" s="355"/>
      <c r="BT38" s="356"/>
      <c r="BU38" s="360"/>
      <c r="BV38" s="355"/>
      <c r="BW38" s="361"/>
      <c r="BX38" s="355"/>
      <c r="BY38" s="356"/>
      <c r="BZ38" s="360"/>
      <c r="CA38" s="356"/>
      <c r="CB38" s="360"/>
      <c r="CC38" s="360"/>
      <c r="CD38" s="360"/>
      <c r="CE38" s="361"/>
      <c r="CF38" s="362"/>
      <c r="CG38" s="362"/>
      <c r="CH38" s="362"/>
      <c r="CI38" s="362"/>
      <c r="CJ38" s="362"/>
      <c r="CK38" s="362"/>
      <c r="CL38" s="362"/>
      <c r="CM38" s="362"/>
      <c r="CN38" s="362"/>
      <c r="CO38" s="362"/>
      <c r="CP38" s="355"/>
      <c r="CQ38" s="362"/>
      <c r="CR38" s="362"/>
      <c r="CS38" s="362"/>
      <c r="CT38" s="362"/>
      <c r="CU38" s="362"/>
      <c r="CV38" s="362"/>
      <c r="CW38" s="361"/>
      <c r="CX38" s="355"/>
      <c r="CY38" s="355"/>
      <c r="CZ38" s="358"/>
      <c r="DA38" s="364"/>
      <c r="DB38" s="360"/>
      <c r="DC38" s="364"/>
      <c r="DD38" s="364"/>
      <c r="DE38" s="359"/>
      <c r="DF38" s="362"/>
      <c r="DG38" s="362"/>
      <c r="DH38" s="361"/>
      <c r="DI38" s="362"/>
      <c r="DJ38" s="361"/>
      <c r="DK38" s="362"/>
      <c r="DL38" s="362"/>
      <c r="DM38" s="359"/>
      <c r="DN38" s="359"/>
      <c r="DO38" s="361"/>
      <c r="DP38" s="364"/>
      <c r="DQ38" s="358"/>
      <c r="DR38" s="361"/>
      <c r="DS38" s="361"/>
      <c r="DT38" s="361"/>
      <c r="DU38" s="361"/>
      <c r="DV38" s="360"/>
      <c r="DW38" s="355"/>
      <c r="DX38" s="362"/>
      <c r="DY38" s="359"/>
      <c r="DZ38" s="358"/>
      <c r="EA38" s="359"/>
      <c r="EB38" s="354"/>
      <c r="EC38" s="359"/>
      <c r="ED38" s="362"/>
      <c r="EE38" s="355"/>
      <c r="EF38" s="360"/>
      <c r="EG38" s="374"/>
      <c r="EH38" s="374"/>
      <c r="EI38" s="374"/>
      <c r="EJ38" s="360"/>
      <c r="EK38" s="374"/>
      <c r="EL38" s="389"/>
      <c r="EM38" s="379"/>
      <c r="EN38" s="368"/>
      <c r="EO38" s="379"/>
      <c r="EP38" s="389"/>
      <c r="EQ38" s="374"/>
      <c r="ER38" s="374"/>
      <c r="ES38" s="360"/>
      <c r="ET38" s="374"/>
      <c r="EU38" s="361"/>
      <c r="EV38" s="361"/>
      <c r="EW38" s="361"/>
      <c r="EX38" s="362"/>
      <c r="EY38" s="362"/>
      <c r="EZ38" s="362"/>
      <c r="FA38" s="362"/>
      <c r="FB38" s="359"/>
      <c r="FC38" s="362"/>
      <c r="FD38" s="362"/>
      <c r="FE38" s="359"/>
      <c r="FF38" s="362"/>
      <c r="FG38" s="361"/>
      <c r="FH38" s="361"/>
      <c r="FI38" s="358"/>
      <c r="FJ38" s="355"/>
      <c r="FK38" s="355"/>
      <c r="FL38" s="356"/>
      <c r="FM38" s="378"/>
      <c r="FN38" s="378"/>
      <c r="FO38" s="364"/>
      <c r="FP38" s="356"/>
      <c r="FQ38" s="378"/>
      <c r="FR38" s="378"/>
      <c r="FS38" s="378"/>
      <c r="FT38" s="378"/>
      <c r="FU38" s="378"/>
      <c r="FV38" s="378"/>
      <c r="FW38" s="378"/>
      <c r="FX38" s="376"/>
      <c r="FY38" s="368"/>
      <c r="FZ38" s="368"/>
      <c r="GA38" s="368"/>
      <c r="GB38" s="368"/>
      <c r="GC38" s="368"/>
      <c r="GD38" s="368"/>
      <c r="GE38" s="368"/>
      <c r="GF38" s="368"/>
      <c r="GG38" s="368"/>
      <c r="GH38" s="368"/>
      <c r="GI38" s="368"/>
      <c r="GJ38" s="379"/>
      <c r="GK38" s="376"/>
      <c r="GL38" s="382"/>
      <c r="GM38" s="382"/>
      <c r="GN38" s="378"/>
      <c r="GO38" s="378"/>
      <c r="GP38" s="374"/>
      <c r="GQ38" s="385"/>
      <c r="GR38" s="373"/>
    </row>
    <row r="39" spans="1:200" ht="13.5" customHeight="1" x14ac:dyDescent="0.2">
      <c r="A39" s="355"/>
      <c r="B39" s="355"/>
      <c r="C39" s="355"/>
      <c r="D39" s="358"/>
      <c r="E39" s="362"/>
      <c r="F39" s="362"/>
      <c r="G39" s="360"/>
      <c r="H39" s="356"/>
      <c r="I39" s="356"/>
      <c r="J39" s="361"/>
      <c r="K39" s="361"/>
      <c r="L39" s="358"/>
      <c r="M39" s="362"/>
      <c r="N39" s="359"/>
      <c r="O39" s="357"/>
      <c r="P39" s="357"/>
      <c r="Q39" s="359"/>
      <c r="R39" s="358"/>
      <c r="S39" s="354"/>
      <c r="T39" s="354"/>
      <c r="U39" s="354"/>
      <c r="V39" s="362"/>
      <c r="W39" s="362"/>
      <c r="X39" s="362"/>
      <c r="Y39" s="362"/>
      <c r="Z39" s="362"/>
      <c r="AA39" s="362"/>
      <c r="AB39" s="358"/>
      <c r="AC39" s="358"/>
      <c r="AD39" s="358"/>
      <c r="AE39" s="358"/>
      <c r="AF39" s="358"/>
      <c r="AG39" s="358"/>
      <c r="AH39" s="362"/>
      <c r="AI39" s="362"/>
      <c r="AJ39" s="354"/>
      <c r="AK39" s="354"/>
      <c r="AL39" s="357"/>
      <c r="AM39" s="359"/>
      <c r="AN39" s="362"/>
      <c r="AO39" s="362"/>
      <c r="AP39" s="362"/>
      <c r="AQ39" s="362"/>
      <c r="AR39" s="362"/>
      <c r="AS39" s="362"/>
      <c r="AT39" s="362"/>
      <c r="AU39" s="362"/>
      <c r="AV39" s="362"/>
      <c r="AW39" s="362"/>
      <c r="AX39" s="362"/>
      <c r="AY39" s="358"/>
      <c r="AZ39" s="359"/>
      <c r="BA39" s="361"/>
      <c r="BB39" s="361"/>
      <c r="BC39" s="362"/>
      <c r="BD39" s="362"/>
      <c r="BE39" s="355"/>
      <c r="BF39" s="362"/>
      <c r="BG39" s="358"/>
      <c r="BH39" s="361"/>
      <c r="BI39" s="362"/>
      <c r="BJ39" s="358"/>
      <c r="BK39" s="355"/>
      <c r="BL39" s="364"/>
      <c r="BM39" s="360"/>
      <c r="BN39" s="355"/>
      <c r="BO39" s="355"/>
      <c r="BP39" s="355"/>
      <c r="BQ39" s="355"/>
      <c r="BR39" s="355"/>
      <c r="BS39" s="361"/>
      <c r="BT39" s="360"/>
      <c r="BU39" s="356"/>
      <c r="BV39" s="355"/>
      <c r="BW39" s="360"/>
      <c r="BX39" s="360"/>
      <c r="BY39" s="364"/>
      <c r="BZ39" s="364"/>
      <c r="CA39" s="364"/>
      <c r="CB39" s="364"/>
      <c r="CC39" s="364"/>
      <c r="CD39" s="361"/>
      <c r="CE39" s="362"/>
      <c r="CF39" s="362"/>
      <c r="CG39" s="359"/>
      <c r="CH39" s="359"/>
      <c r="CI39" s="359"/>
      <c r="CJ39" s="359"/>
      <c r="CK39" s="358"/>
      <c r="CL39" s="358"/>
      <c r="CM39" s="359"/>
      <c r="CN39" s="359"/>
      <c r="CO39" s="359"/>
      <c r="CP39" s="355"/>
      <c r="CQ39" s="362"/>
      <c r="CR39" s="362"/>
      <c r="CS39" s="359"/>
      <c r="CT39" s="357"/>
      <c r="CU39" s="362"/>
      <c r="CV39" s="362"/>
      <c r="CW39" s="362"/>
      <c r="CX39" s="361"/>
      <c r="CY39" s="361"/>
      <c r="CZ39" s="358"/>
      <c r="DA39" s="362"/>
      <c r="DB39" s="362"/>
      <c r="DC39" s="364"/>
      <c r="DD39" s="364"/>
      <c r="DE39" s="364"/>
      <c r="DF39" s="358"/>
      <c r="DG39" s="358"/>
      <c r="DH39" s="358"/>
      <c r="DI39" s="362"/>
      <c r="DJ39" s="359"/>
      <c r="DK39" s="362"/>
      <c r="DL39" s="362"/>
      <c r="DM39" s="361"/>
      <c r="DN39" s="359"/>
      <c r="DO39" s="359"/>
      <c r="DP39" s="361"/>
      <c r="DQ39" s="364"/>
      <c r="DR39" s="361"/>
      <c r="DS39" s="361"/>
      <c r="DT39" s="362"/>
      <c r="DU39" s="361"/>
      <c r="DV39" s="361"/>
      <c r="DW39" s="361"/>
      <c r="DX39" s="362"/>
      <c r="DY39" s="359"/>
      <c r="DZ39" s="359"/>
      <c r="EA39" s="358"/>
      <c r="EB39" s="357"/>
      <c r="EC39" s="359"/>
      <c r="ED39" s="358"/>
      <c r="EE39" s="355"/>
      <c r="EF39" s="356"/>
      <c r="EG39" s="360"/>
      <c r="EH39" s="374"/>
      <c r="EI39" s="374"/>
      <c r="EJ39" s="373"/>
      <c r="EK39" s="374"/>
      <c r="EL39" s="385"/>
      <c r="EM39" s="368"/>
      <c r="EN39" s="368"/>
      <c r="EO39" s="379"/>
      <c r="EP39" s="389"/>
      <c r="EQ39" s="374"/>
      <c r="ER39" s="374"/>
      <c r="ES39" s="373"/>
      <c r="ET39" s="374"/>
      <c r="EU39" s="361"/>
      <c r="EV39" s="361"/>
      <c r="EW39" s="361"/>
      <c r="EX39" s="362"/>
      <c r="EY39" s="361"/>
      <c r="EZ39" s="359"/>
      <c r="FA39" s="362"/>
      <c r="FB39" s="358"/>
      <c r="FC39" s="362"/>
      <c r="FD39" s="362"/>
      <c r="FE39" s="359"/>
      <c r="FF39" s="358"/>
      <c r="FG39" s="361"/>
      <c r="FH39" s="355"/>
      <c r="FI39" s="361"/>
      <c r="FJ39" s="358"/>
      <c r="FK39" s="370"/>
      <c r="FL39" s="356"/>
      <c r="FM39" s="363"/>
      <c r="FN39" s="378"/>
      <c r="FO39" s="378"/>
      <c r="FP39" s="378"/>
      <c r="FQ39" s="363"/>
      <c r="FR39" s="363"/>
      <c r="FS39" s="378"/>
      <c r="FT39" s="378"/>
      <c r="FU39" s="378"/>
      <c r="FV39" s="378"/>
      <c r="FW39" s="378"/>
      <c r="FX39" s="378"/>
      <c r="FY39" s="376"/>
      <c r="FZ39" s="376"/>
      <c r="GA39" s="368"/>
      <c r="GB39" s="368"/>
      <c r="GC39" s="368"/>
      <c r="GD39" s="368"/>
      <c r="GE39" s="368"/>
      <c r="GF39" s="368"/>
      <c r="GG39" s="368"/>
      <c r="GH39" s="368"/>
      <c r="GI39" s="376"/>
      <c r="GJ39" s="376"/>
      <c r="GK39" s="382"/>
      <c r="GL39" s="382"/>
      <c r="GM39" s="382"/>
      <c r="GN39" s="374"/>
      <c r="GO39" s="374"/>
      <c r="GP39" s="378"/>
      <c r="GQ39" s="373"/>
      <c r="GR39" s="378"/>
    </row>
    <row r="40" spans="1:200" ht="13.5" customHeight="1" x14ac:dyDescent="0.2">
      <c r="A40" s="361"/>
      <c r="B40" s="355"/>
      <c r="C40" s="355"/>
      <c r="D40" s="361"/>
      <c r="E40" s="355"/>
      <c r="F40" s="355"/>
      <c r="G40" s="355"/>
      <c r="H40" s="360"/>
      <c r="I40" s="356"/>
      <c r="J40" s="361"/>
      <c r="K40" s="361"/>
      <c r="L40" s="361"/>
      <c r="M40" s="362"/>
      <c r="N40" s="362"/>
      <c r="O40" s="355"/>
      <c r="P40" s="357"/>
      <c r="Q40" s="359"/>
      <c r="R40" s="359"/>
      <c r="S40" s="359"/>
      <c r="T40" s="354"/>
      <c r="U40" s="354"/>
      <c r="V40" s="354"/>
      <c r="W40" s="359"/>
      <c r="X40" s="362"/>
      <c r="Y40" s="362"/>
      <c r="Z40" s="362"/>
      <c r="AA40" s="358"/>
      <c r="AB40" s="362"/>
      <c r="AC40" s="362"/>
      <c r="AD40" s="362"/>
      <c r="AE40" s="359"/>
      <c r="AF40" s="359"/>
      <c r="AG40" s="359"/>
      <c r="AH40" s="362"/>
      <c r="AI40" s="362"/>
      <c r="AJ40" s="354"/>
      <c r="AK40" s="354"/>
      <c r="AL40" s="357"/>
      <c r="AM40" s="359"/>
      <c r="AN40" s="359"/>
      <c r="AO40" s="362"/>
      <c r="AP40" s="362"/>
      <c r="AQ40" s="362"/>
      <c r="AR40" s="362"/>
      <c r="AS40" s="362"/>
      <c r="AT40" s="361"/>
      <c r="AU40" s="359"/>
      <c r="AV40" s="362"/>
      <c r="AW40" s="362"/>
      <c r="AX40" s="362"/>
      <c r="AY40" s="361"/>
      <c r="AZ40" s="361"/>
      <c r="BA40" s="361"/>
      <c r="BB40" s="361"/>
      <c r="BC40" s="361"/>
      <c r="BD40" s="361"/>
      <c r="BE40" s="362"/>
      <c r="BF40" s="358"/>
      <c r="BG40" s="361"/>
      <c r="BH40" s="355"/>
      <c r="BI40" s="358"/>
      <c r="BJ40" s="360"/>
      <c r="BK40" s="364"/>
      <c r="BL40" s="356"/>
      <c r="BM40" s="361"/>
      <c r="BN40" s="361"/>
      <c r="BO40" s="361"/>
      <c r="BP40" s="355"/>
      <c r="BQ40" s="361"/>
      <c r="BR40" s="361"/>
      <c r="BS40" s="361"/>
      <c r="BT40" s="360"/>
      <c r="BU40" s="360"/>
      <c r="BV40" s="356"/>
      <c r="BW40" s="364"/>
      <c r="BX40" s="360"/>
      <c r="BY40" s="360"/>
      <c r="BZ40" s="360"/>
      <c r="CA40" s="360"/>
      <c r="CB40" s="360"/>
      <c r="CC40" s="361"/>
      <c r="CD40" s="361"/>
      <c r="CE40" s="362"/>
      <c r="CF40" s="362"/>
      <c r="CG40" s="358"/>
      <c r="CH40" s="362"/>
      <c r="CI40" s="362"/>
      <c r="CJ40" s="362"/>
      <c r="CK40" s="362"/>
      <c r="CL40" s="362"/>
      <c r="CM40" s="362"/>
      <c r="CN40" s="359"/>
      <c r="CO40" s="359"/>
      <c r="CP40" s="359"/>
      <c r="CQ40" s="359"/>
      <c r="CR40" s="359"/>
      <c r="CS40" s="362"/>
      <c r="CT40" s="359"/>
      <c r="CU40" s="357"/>
      <c r="CV40" s="355"/>
      <c r="CW40" s="362"/>
      <c r="CX40" s="355"/>
      <c r="CY40" s="358"/>
      <c r="CZ40" s="361"/>
      <c r="DA40" s="362"/>
      <c r="DB40" s="361"/>
      <c r="DC40" s="361"/>
      <c r="DD40" s="361"/>
      <c r="DE40" s="364"/>
      <c r="DF40" s="364"/>
      <c r="DG40" s="358"/>
      <c r="DH40" s="359"/>
      <c r="DI40" s="359"/>
      <c r="DJ40" s="359"/>
      <c r="DK40" s="359"/>
      <c r="DL40" s="358"/>
      <c r="DM40" s="362"/>
      <c r="DN40" s="361"/>
      <c r="DO40" s="359"/>
      <c r="DP40" s="361"/>
      <c r="DQ40" s="364"/>
      <c r="DR40" s="361"/>
      <c r="DS40" s="360"/>
      <c r="DT40" s="362"/>
      <c r="DU40" s="358"/>
      <c r="DV40" s="361"/>
      <c r="DW40" s="361"/>
      <c r="DX40" s="358"/>
      <c r="DY40" s="361"/>
      <c r="DZ40" s="359"/>
      <c r="EA40" s="359"/>
      <c r="EB40" s="359"/>
      <c r="EC40" s="359"/>
      <c r="ED40" s="359"/>
      <c r="EE40" s="358"/>
      <c r="EF40" s="355"/>
      <c r="EG40" s="374"/>
      <c r="EH40" s="374"/>
      <c r="EI40" s="374"/>
      <c r="EJ40" s="374"/>
      <c r="EK40" s="360"/>
      <c r="EL40" s="389"/>
      <c r="EM40" s="368"/>
      <c r="EN40" s="368"/>
      <c r="EO40" s="368"/>
      <c r="EP40" s="385"/>
      <c r="EQ40" s="374"/>
      <c r="ER40" s="374"/>
      <c r="ES40" s="360"/>
      <c r="ET40" s="374"/>
      <c r="EU40" s="360"/>
      <c r="EV40" s="355"/>
      <c r="EW40" s="361"/>
      <c r="EX40" s="361"/>
      <c r="EY40" s="362"/>
      <c r="EZ40" s="358"/>
      <c r="FA40" s="358"/>
      <c r="FB40" s="358"/>
      <c r="FC40" s="362"/>
      <c r="FD40" s="362"/>
      <c r="FE40" s="359"/>
      <c r="FF40" s="359"/>
      <c r="FG40" s="358"/>
      <c r="FH40" s="360"/>
      <c r="FI40" s="361"/>
      <c r="FJ40" s="358"/>
      <c r="FK40" s="358"/>
      <c r="FL40" s="355"/>
      <c r="FM40" s="370"/>
      <c r="FN40" s="356"/>
      <c r="FO40" s="378"/>
      <c r="FP40" s="378"/>
      <c r="FQ40" s="378"/>
      <c r="FR40" s="363"/>
      <c r="FS40" s="363"/>
      <c r="FT40" s="378"/>
      <c r="FU40" s="378"/>
      <c r="FV40" s="378"/>
      <c r="FW40" s="378"/>
      <c r="FX40" s="378"/>
      <c r="FY40" s="378"/>
      <c r="FZ40" s="378"/>
      <c r="GA40" s="376"/>
      <c r="GB40" s="376"/>
      <c r="GC40" s="376"/>
      <c r="GD40" s="376"/>
      <c r="GE40" s="376"/>
      <c r="GF40" s="383"/>
      <c r="GG40" s="383"/>
      <c r="GH40" s="376"/>
      <c r="GI40" s="378"/>
      <c r="GJ40" s="378"/>
      <c r="GK40" s="378"/>
      <c r="GL40" s="385"/>
      <c r="GM40" s="385"/>
      <c r="GN40" s="378"/>
      <c r="GO40" s="378"/>
      <c r="GP40" s="373"/>
      <c r="GQ40" s="378"/>
      <c r="GR40" s="378"/>
    </row>
    <row r="41" spans="1:200" ht="13.5" customHeight="1" x14ac:dyDescent="0.2">
      <c r="A41" s="361"/>
      <c r="B41" s="355"/>
      <c r="C41" s="361"/>
      <c r="D41" s="355"/>
      <c r="E41" s="361"/>
      <c r="F41" s="355"/>
      <c r="G41" s="355"/>
      <c r="H41" s="364"/>
      <c r="I41" s="356"/>
      <c r="J41" s="356"/>
      <c r="K41" s="360"/>
      <c r="L41" s="361"/>
      <c r="M41" s="361"/>
      <c r="N41" s="361"/>
      <c r="O41" s="361"/>
      <c r="P41" s="355"/>
      <c r="Q41" s="359"/>
      <c r="R41" s="359"/>
      <c r="S41" s="359"/>
      <c r="T41" s="358"/>
      <c r="U41" s="358"/>
      <c r="V41" s="359"/>
      <c r="W41" s="359"/>
      <c r="X41" s="359"/>
      <c r="Y41" s="359"/>
      <c r="Z41" s="362"/>
      <c r="AA41" s="362"/>
      <c r="AB41" s="362"/>
      <c r="AC41" s="362"/>
      <c r="AD41" s="362"/>
      <c r="AE41" s="362"/>
      <c r="AF41" s="362"/>
      <c r="AG41" s="362"/>
      <c r="AH41" s="362"/>
      <c r="AI41" s="362"/>
      <c r="AJ41" s="358"/>
      <c r="AK41" s="354"/>
      <c r="AL41" s="354"/>
      <c r="AM41" s="357"/>
      <c r="AN41" s="359"/>
      <c r="AO41" s="361"/>
      <c r="AP41" s="361"/>
      <c r="AQ41" s="361"/>
      <c r="AR41" s="361"/>
      <c r="AS41" s="362"/>
      <c r="AT41" s="359"/>
      <c r="AU41" s="358"/>
      <c r="AV41" s="362"/>
      <c r="AW41" s="361"/>
      <c r="AX41" s="361"/>
      <c r="AY41" s="361"/>
      <c r="AZ41" s="361"/>
      <c r="BA41" s="361"/>
      <c r="BB41" s="362"/>
      <c r="BC41" s="362"/>
      <c r="BD41" s="362"/>
      <c r="BE41" s="362"/>
      <c r="BF41" s="362"/>
      <c r="BG41" s="359"/>
      <c r="BH41" s="364"/>
      <c r="BI41" s="360"/>
      <c r="BJ41" s="364"/>
      <c r="BK41" s="360"/>
      <c r="BL41" s="361"/>
      <c r="BM41" s="361"/>
      <c r="BN41" s="361"/>
      <c r="BO41" s="361"/>
      <c r="BP41" s="361"/>
      <c r="BQ41" s="362"/>
      <c r="BR41" s="361"/>
      <c r="BS41" s="355"/>
      <c r="BT41" s="356"/>
      <c r="BU41" s="360"/>
      <c r="BV41" s="361"/>
      <c r="BW41" s="361"/>
      <c r="BX41" s="360"/>
      <c r="BY41" s="360"/>
      <c r="BZ41" s="360"/>
      <c r="CA41" s="361"/>
      <c r="CB41" s="361"/>
      <c r="CC41" s="361"/>
      <c r="CD41" s="362"/>
      <c r="CE41" s="362"/>
      <c r="CF41" s="362"/>
      <c r="CG41" s="362"/>
      <c r="CH41" s="362"/>
      <c r="CI41" s="362"/>
      <c r="CJ41" s="362"/>
      <c r="CK41" s="362"/>
      <c r="CL41" s="362"/>
      <c r="CM41" s="362"/>
      <c r="CN41" s="362"/>
      <c r="CO41" s="362"/>
      <c r="CP41" s="362"/>
      <c r="CQ41" s="362"/>
      <c r="CR41" s="358"/>
      <c r="CS41" s="362"/>
      <c r="CT41" s="362"/>
      <c r="CU41" s="359"/>
      <c r="CV41" s="359"/>
      <c r="CW41" s="357"/>
      <c r="CX41" s="361"/>
      <c r="CY41" s="361"/>
      <c r="CZ41" s="359"/>
      <c r="DA41" s="359"/>
      <c r="DB41" s="361"/>
      <c r="DC41" s="361"/>
      <c r="DD41" s="360"/>
      <c r="DE41" s="361"/>
      <c r="DF41" s="360"/>
      <c r="DG41" s="361"/>
      <c r="DH41" s="362"/>
      <c r="DI41" s="362"/>
      <c r="DJ41" s="359"/>
      <c r="DK41" s="358"/>
      <c r="DL41" s="359"/>
      <c r="DM41" s="359"/>
      <c r="DN41" s="362"/>
      <c r="DO41" s="361"/>
      <c r="DP41" s="357"/>
      <c r="DQ41" s="360"/>
      <c r="DR41" s="364"/>
      <c r="DS41" s="361"/>
      <c r="DT41" s="361"/>
      <c r="DU41" s="362"/>
      <c r="DV41" s="360"/>
      <c r="DW41" s="355"/>
      <c r="DX41" s="361"/>
      <c r="DY41" s="362"/>
      <c r="DZ41" s="359"/>
      <c r="EA41" s="359"/>
      <c r="EB41" s="358"/>
      <c r="EC41" s="359"/>
      <c r="ED41" s="359"/>
      <c r="EE41" s="359"/>
      <c r="EF41" s="362"/>
      <c r="EG41" s="360"/>
      <c r="EH41" s="374"/>
      <c r="EI41" s="372"/>
      <c r="EJ41" s="374"/>
      <c r="EK41" s="373"/>
      <c r="EL41" s="374"/>
      <c r="EM41" s="389"/>
      <c r="EN41" s="389"/>
      <c r="EO41" s="389"/>
      <c r="EP41" s="389"/>
      <c r="EQ41" s="374"/>
      <c r="ER41" s="373"/>
      <c r="ES41" s="374"/>
      <c r="ET41" s="374"/>
      <c r="EU41" s="361"/>
      <c r="EV41" s="361"/>
      <c r="EW41" s="361"/>
      <c r="EX41" s="362"/>
      <c r="EY41" s="361"/>
      <c r="EZ41" s="362"/>
      <c r="FA41" s="362"/>
      <c r="FB41" s="358"/>
      <c r="FC41" s="359"/>
      <c r="FD41" s="362"/>
      <c r="FE41" s="362"/>
      <c r="FF41" s="359"/>
      <c r="FG41" s="359"/>
      <c r="FH41" s="361"/>
      <c r="FI41" s="360"/>
      <c r="FJ41" s="361"/>
      <c r="FK41" s="358"/>
      <c r="FL41" s="355"/>
      <c r="FM41" s="370"/>
      <c r="FN41" s="362"/>
      <c r="FO41" s="362"/>
      <c r="FP41" s="378"/>
      <c r="FQ41" s="378"/>
      <c r="FR41" s="378"/>
      <c r="FS41" s="363"/>
      <c r="FT41" s="363"/>
      <c r="FU41" s="378"/>
      <c r="FV41" s="378"/>
      <c r="FW41" s="378"/>
      <c r="FX41" s="378"/>
      <c r="FY41" s="378"/>
      <c r="FZ41" s="378"/>
      <c r="GA41" s="378"/>
      <c r="GB41" s="378"/>
      <c r="GC41" s="378"/>
      <c r="GD41" s="378"/>
      <c r="GE41" s="378"/>
      <c r="GF41" s="378"/>
      <c r="GG41" s="382"/>
      <c r="GH41" s="378"/>
      <c r="GI41" s="378"/>
      <c r="GJ41" s="385"/>
      <c r="GK41" s="385"/>
      <c r="GL41" s="378"/>
      <c r="GM41" s="378"/>
      <c r="GN41" s="373"/>
      <c r="GO41" s="373"/>
      <c r="GP41" s="378"/>
      <c r="GQ41" s="378"/>
      <c r="GR41" s="378"/>
    </row>
    <row r="42" spans="1:200" ht="13.5" customHeight="1" x14ac:dyDescent="0.2">
      <c r="A42" s="355"/>
      <c r="B42" s="361"/>
      <c r="C42" s="361"/>
      <c r="D42" s="361"/>
      <c r="E42" s="355"/>
      <c r="F42" s="361"/>
      <c r="G42" s="362"/>
      <c r="H42" s="358"/>
      <c r="I42" s="356"/>
      <c r="J42" s="356"/>
      <c r="K42" s="356"/>
      <c r="L42" s="360"/>
      <c r="M42" s="360"/>
      <c r="N42" s="361"/>
      <c r="O42" s="360"/>
      <c r="P42" s="356"/>
      <c r="Q42" s="356"/>
      <c r="R42" s="361"/>
      <c r="S42" s="359"/>
      <c r="T42" s="359"/>
      <c r="U42" s="359"/>
      <c r="V42" s="359"/>
      <c r="W42" s="362"/>
      <c r="X42" s="362"/>
      <c r="Y42" s="359"/>
      <c r="Z42" s="359"/>
      <c r="AA42" s="362"/>
      <c r="AB42" s="362"/>
      <c r="AC42" s="362"/>
      <c r="AD42" s="362"/>
      <c r="AE42" s="362"/>
      <c r="AF42" s="362"/>
      <c r="AG42" s="362"/>
      <c r="AH42" s="362"/>
      <c r="AI42" s="362"/>
      <c r="AJ42" s="355"/>
      <c r="AK42" s="354"/>
      <c r="AL42" s="354"/>
      <c r="AM42" s="357"/>
      <c r="AN42" s="355"/>
      <c r="AO42" s="361"/>
      <c r="AP42" s="362"/>
      <c r="AQ42" s="362"/>
      <c r="AR42" s="362"/>
      <c r="AS42" s="362"/>
      <c r="AT42" s="360"/>
      <c r="AU42" s="360"/>
      <c r="AV42" s="360"/>
      <c r="AW42" s="361"/>
      <c r="AX42" s="361"/>
      <c r="AY42" s="361"/>
      <c r="AZ42" s="361"/>
      <c r="BA42" s="362"/>
      <c r="BB42" s="362"/>
      <c r="BC42" s="362"/>
      <c r="BD42" s="362"/>
      <c r="BE42" s="355"/>
      <c r="BF42" s="364"/>
      <c r="BG42" s="364"/>
      <c r="BH42" s="360"/>
      <c r="BI42" s="364"/>
      <c r="BJ42" s="364"/>
      <c r="BK42" s="355"/>
      <c r="BL42" s="361"/>
      <c r="BM42" s="360"/>
      <c r="BN42" s="361"/>
      <c r="BO42" s="361"/>
      <c r="BP42" s="361"/>
      <c r="BQ42" s="355"/>
      <c r="BR42" s="355"/>
      <c r="BS42" s="361"/>
      <c r="BT42" s="361"/>
      <c r="BU42" s="361"/>
      <c r="BV42" s="360"/>
      <c r="BW42" s="360"/>
      <c r="BX42" s="360"/>
      <c r="BY42" s="361"/>
      <c r="BZ42" s="361"/>
      <c r="CA42" s="361"/>
      <c r="CB42" s="359"/>
      <c r="CC42" s="359"/>
      <c r="CD42" s="359"/>
      <c r="CE42" s="359"/>
      <c r="CF42" s="359"/>
      <c r="CG42" s="362"/>
      <c r="CH42" s="362"/>
      <c r="CI42" s="362"/>
      <c r="CJ42" s="362"/>
      <c r="CK42" s="362"/>
      <c r="CL42" s="362"/>
      <c r="CM42" s="362"/>
      <c r="CN42" s="362"/>
      <c r="CO42" s="362"/>
      <c r="CP42" s="362"/>
      <c r="CQ42" s="362"/>
      <c r="CR42" s="362"/>
      <c r="CS42" s="362"/>
      <c r="CT42" s="362"/>
      <c r="CU42" s="362"/>
      <c r="CV42" s="362"/>
      <c r="CW42" s="359"/>
      <c r="CX42" s="357"/>
      <c r="CY42" s="361"/>
      <c r="CZ42" s="361"/>
      <c r="DA42" s="359"/>
      <c r="DB42" s="359"/>
      <c r="DC42" s="361"/>
      <c r="DD42" s="361"/>
      <c r="DE42" s="360"/>
      <c r="DF42" s="362"/>
      <c r="DG42" s="360"/>
      <c r="DH42" s="361"/>
      <c r="DI42" s="362"/>
      <c r="DJ42" s="359"/>
      <c r="DK42" s="359"/>
      <c r="DL42" s="359"/>
      <c r="DM42" s="359"/>
      <c r="DN42" s="358"/>
      <c r="DO42" s="362"/>
      <c r="DP42" s="359"/>
      <c r="DQ42" s="354"/>
      <c r="DR42" s="361"/>
      <c r="DS42" s="364"/>
      <c r="DT42" s="361"/>
      <c r="DU42" s="361"/>
      <c r="DV42" s="362"/>
      <c r="DW42" s="361"/>
      <c r="DX42" s="362"/>
      <c r="DY42" s="362"/>
      <c r="DZ42" s="361"/>
      <c r="EA42" s="359"/>
      <c r="EB42" s="359"/>
      <c r="EC42" s="359"/>
      <c r="ED42" s="359"/>
      <c r="EE42" s="359"/>
      <c r="EF42" s="359"/>
      <c r="EG42" s="360"/>
      <c r="EH42" s="374"/>
      <c r="EI42" s="374"/>
      <c r="EJ42" s="374"/>
      <c r="EK42" s="374"/>
      <c r="EL42" s="360"/>
      <c r="EM42" s="374"/>
      <c r="EN42" s="374"/>
      <c r="EO42" s="374"/>
      <c r="EP42" s="374"/>
      <c r="EQ42" s="360"/>
      <c r="ER42" s="374"/>
      <c r="ES42" s="374"/>
      <c r="ET42" s="362"/>
      <c r="EU42" s="374"/>
      <c r="EV42" s="361"/>
      <c r="EW42" s="362"/>
      <c r="EX42" s="362"/>
      <c r="EY42" s="362"/>
      <c r="EZ42" s="361"/>
      <c r="FA42" s="362"/>
      <c r="FB42" s="362"/>
      <c r="FC42" s="358"/>
      <c r="FD42" s="358"/>
      <c r="FE42" s="362"/>
      <c r="FF42" s="362"/>
      <c r="FG42" s="358"/>
      <c r="FH42" s="359"/>
      <c r="FI42" s="360"/>
      <c r="FJ42" s="361"/>
      <c r="FK42" s="361"/>
      <c r="FL42" s="357"/>
      <c r="FM42" s="356"/>
      <c r="FN42" s="362"/>
      <c r="FO42" s="362"/>
      <c r="FP42" s="367"/>
      <c r="FQ42" s="378"/>
      <c r="FR42" s="378"/>
      <c r="FS42" s="378"/>
      <c r="FT42" s="363"/>
      <c r="FU42" s="378"/>
      <c r="FV42" s="378"/>
      <c r="FW42" s="378"/>
      <c r="FX42" s="378"/>
      <c r="FY42" s="378"/>
      <c r="FZ42" s="378"/>
      <c r="GA42" s="378"/>
      <c r="GB42" s="378"/>
      <c r="GC42" s="378"/>
      <c r="GD42" s="378"/>
      <c r="GE42" s="378"/>
      <c r="GF42" s="378"/>
      <c r="GG42" s="378"/>
      <c r="GH42" s="378"/>
      <c r="GI42" s="385"/>
      <c r="GJ42" s="385"/>
      <c r="GK42" s="378"/>
      <c r="GL42" s="378"/>
      <c r="GM42" s="371"/>
      <c r="GN42" s="382"/>
      <c r="GO42" s="378"/>
      <c r="GP42" s="378"/>
      <c r="GQ42" s="374"/>
      <c r="GR42" s="355"/>
    </row>
    <row r="43" spans="1:200" ht="13.5" customHeight="1" x14ac:dyDescent="0.2">
      <c r="A43" s="362"/>
      <c r="B43" s="362"/>
      <c r="C43" s="362"/>
      <c r="D43" s="355"/>
      <c r="E43" s="361"/>
      <c r="F43" s="361"/>
      <c r="G43" s="361"/>
      <c r="H43" s="362"/>
      <c r="I43" s="355"/>
      <c r="J43" s="364"/>
      <c r="K43" s="356"/>
      <c r="L43" s="356"/>
      <c r="M43" s="355"/>
      <c r="N43" s="360"/>
      <c r="O43" s="361"/>
      <c r="P43" s="364"/>
      <c r="Q43" s="356"/>
      <c r="R43" s="356"/>
      <c r="S43" s="361"/>
      <c r="T43" s="355"/>
      <c r="U43" s="355"/>
      <c r="V43" s="359"/>
      <c r="W43" s="359"/>
      <c r="X43" s="359"/>
      <c r="Y43" s="359"/>
      <c r="Z43" s="359"/>
      <c r="AA43" s="362"/>
      <c r="AB43" s="362"/>
      <c r="AC43" s="362"/>
      <c r="AD43" s="362"/>
      <c r="AE43" s="362"/>
      <c r="AF43" s="362"/>
      <c r="AG43" s="359"/>
      <c r="AH43" s="359"/>
      <c r="AI43" s="361"/>
      <c r="AJ43" s="361"/>
      <c r="AK43" s="354"/>
      <c r="AL43" s="354"/>
      <c r="AM43" s="354"/>
      <c r="AN43" s="390"/>
      <c r="AO43" s="362"/>
      <c r="AP43" s="362"/>
      <c r="AQ43" s="362"/>
      <c r="AR43" s="361"/>
      <c r="AS43" s="361"/>
      <c r="AT43" s="361"/>
      <c r="AU43" s="355"/>
      <c r="AV43" s="355"/>
      <c r="AW43" s="362"/>
      <c r="AX43" s="362"/>
      <c r="AY43" s="361"/>
      <c r="AZ43" s="355"/>
      <c r="BA43" s="361"/>
      <c r="BB43" s="362"/>
      <c r="BC43" s="362"/>
      <c r="BD43" s="362"/>
      <c r="BE43" s="364"/>
      <c r="BF43" s="360"/>
      <c r="BG43" s="355"/>
      <c r="BH43" s="355"/>
      <c r="BI43" s="364"/>
      <c r="BJ43" s="360"/>
      <c r="BK43" s="356"/>
      <c r="BL43" s="360"/>
      <c r="BM43" s="361"/>
      <c r="BN43" s="361"/>
      <c r="BO43" s="361"/>
      <c r="BP43" s="361"/>
      <c r="BQ43" s="355"/>
      <c r="BR43" s="361"/>
      <c r="BS43" s="355"/>
      <c r="BT43" s="355"/>
      <c r="BU43" s="360"/>
      <c r="BV43" s="360"/>
      <c r="BW43" s="360"/>
      <c r="BX43" s="361"/>
      <c r="BY43" s="361"/>
      <c r="BZ43" s="359"/>
      <c r="CA43" s="359"/>
      <c r="CB43" s="359"/>
      <c r="CC43" s="354"/>
      <c r="CD43" s="357"/>
      <c r="CE43" s="357"/>
      <c r="CF43" s="359"/>
      <c r="CG43" s="359"/>
      <c r="CH43" s="362"/>
      <c r="CI43" s="362"/>
      <c r="CJ43" s="362"/>
      <c r="CK43" s="362"/>
      <c r="CL43" s="362"/>
      <c r="CM43" s="362"/>
      <c r="CN43" s="362"/>
      <c r="CO43" s="362"/>
      <c r="CP43" s="362"/>
      <c r="CQ43" s="362"/>
      <c r="CR43" s="361"/>
      <c r="CS43" s="358"/>
      <c r="CT43" s="362"/>
      <c r="CU43" s="362"/>
      <c r="CV43" s="362"/>
      <c r="CW43" s="362"/>
      <c r="CX43" s="359"/>
      <c r="CY43" s="359"/>
      <c r="CZ43" s="361"/>
      <c r="DA43" s="361"/>
      <c r="DB43" s="359"/>
      <c r="DC43" s="359"/>
      <c r="DD43" s="361"/>
      <c r="DE43" s="360"/>
      <c r="DF43" s="361"/>
      <c r="DG43" s="361"/>
      <c r="DH43" s="360"/>
      <c r="DI43" s="362"/>
      <c r="DJ43" s="361"/>
      <c r="DK43" s="359"/>
      <c r="DL43" s="361"/>
      <c r="DM43" s="359"/>
      <c r="DN43" s="362"/>
      <c r="DO43" s="362"/>
      <c r="DP43" s="362"/>
      <c r="DQ43" s="359"/>
      <c r="DR43" s="359"/>
      <c r="DS43" s="361"/>
      <c r="DT43" s="361"/>
      <c r="DU43" s="361"/>
      <c r="DV43" s="361"/>
      <c r="DW43" s="361"/>
      <c r="DX43" s="362"/>
      <c r="DY43" s="362"/>
      <c r="DZ43" s="362"/>
      <c r="EA43" s="362"/>
      <c r="EB43" s="359"/>
      <c r="EC43" s="359"/>
      <c r="ED43" s="362"/>
      <c r="EE43" s="358"/>
      <c r="EF43" s="358"/>
      <c r="EG43" s="387"/>
      <c r="EH43" s="360"/>
      <c r="EI43" s="374"/>
      <c r="EJ43" s="360"/>
      <c r="EK43" s="374"/>
      <c r="EL43" s="374"/>
      <c r="EM43" s="374"/>
      <c r="EN43" s="373"/>
      <c r="EO43" s="360"/>
      <c r="EP43" s="374"/>
      <c r="EQ43" s="374"/>
      <c r="ER43" s="364"/>
      <c r="ES43" s="362"/>
      <c r="ET43" s="360"/>
      <c r="EU43" s="374"/>
      <c r="EV43" s="361"/>
      <c r="EW43" s="361"/>
      <c r="EX43" s="362"/>
      <c r="EY43" s="362"/>
      <c r="EZ43" s="362"/>
      <c r="FA43" s="361"/>
      <c r="FB43" s="361"/>
      <c r="FC43" s="362"/>
      <c r="FD43" s="362"/>
      <c r="FE43" s="359"/>
      <c r="FF43" s="362"/>
      <c r="FG43" s="362"/>
      <c r="FH43" s="358"/>
      <c r="FI43" s="361"/>
      <c r="FJ43" s="361"/>
      <c r="FK43" s="361"/>
      <c r="FL43" s="359"/>
      <c r="FM43" s="357"/>
      <c r="FN43" s="355"/>
      <c r="FO43" s="362"/>
      <c r="FP43" s="355"/>
      <c r="FQ43" s="355"/>
      <c r="FR43" s="363"/>
      <c r="FS43" s="378"/>
      <c r="FT43" s="363"/>
      <c r="FU43" s="363"/>
      <c r="FV43" s="378"/>
      <c r="FW43" s="378"/>
      <c r="FX43" s="378"/>
      <c r="FY43" s="378"/>
      <c r="FZ43" s="378"/>
      <c r="GA43" s="378"/>
      <c r="GB43" s="378"/>
      <c r="GC43" s="378"/>
      <c r="GD43" s="378"/>
      <c r="GE43" s="378"/>
      <c r="GF43" s="378"/>
      <c r="GG43" s="378"/>
      <c r="GH43" s="378"/>
      <c r="GI43" s="378"/>
      <c r="GJ43" s="371"/>
      <c r="GK43" s="371"/>
      <c r="GL43" s="371"/>
      <c r="GM43" s="374"/>
      <c r="GN43" s="374"/>
      <c r="GO43" s="374"/>
      <c r="GP43" s="374"/>
      <c r="GQ43" s="355"/>
      <c r="GR43" s="361"/>
    </row>
    <row r="44" spans="1:200" ht="13.5" customHeight="1" x14ac:dyDescent="0.2">
      <c r="A44" s="362"/>
      <c r="B44" s="358"/>
      <c r="C44" s="358"/>
      <c r="D44" s="358"/>
      <c r="E44" s="355"/>
      <c r="F44" s="355"/>
      <c r="G44" s="361"/>
      <c r="H44" s="361"/>
      <c r="I44" s="362"/>
      <c r="J44" s="356"/>
      <c r="K44" s="356"/>
      <c r="L44" s="356"/>
      <c r="M44" s="356"/>
      <c r="N44" s="355"/>
      <c r="O44" s="361"/>
      <c r="P44" s="361"/>
      <c r="Q44" s="361"/>
      <c r="R44" s="360"/>
      <c r="S44" s="361"/>
      <c r="T44" s="361"/>
      <c r="U44" s="355"/>
      <c r="V44" s="355"/>
      <c r="W44" s="361"/>
      <c r="X44" s="361"/>
      <c r="Y44" s="361"/>
      <c r="Z44" s="361"/>
      <c r="AA44" s="359"/>
      <c r="AB44" s="359"/>
      <c r="AC44" s="359"/>
      <c r="AD44" s="358"/>
      <c r="AE44" s="362"/>
      <c r="AF44" s="362"/>
      <c r="AG44" s="361"/>
      <c r="AH44" s="361"/>
      <c r="AI44" s="361"/>
      <c r="AJ44" s="361"/>
      <c r="AK44" s="361"/>
      <c r="AL44" s="354"/>
      <c r="AM44" s="354"/>
      <c r="AN44" s="354"/>
      <c r="AO44" s="355"/>
      <c r="AP44" s="361"/>
      <c r="AQ44" s="361"/>
      <c r="AR44" s="361"/>
      <c r="AS44" s="362"/>
      <c r="AT44" s="362"/>
      <c r="AU44" s="361"/>
      <c r="AV44" s="361"/>
      <c r="AW44" s="361"/>
      <c r="AX44" s="362"/>
      <c r="AY44" s="361"/>
      <c r="AZ44" s="361"/>
      <c r="BA44" s="361"/>
      <c r="BB44" s="362"/>
      <c r="BC44" s="355"/>
      <c r="BD44" s="355"/>
      <c r="BE44" s="360"/>
      <c r="BF44" s="361"/>
      <c r="BG44" s="362"/>
      <c r="BH44" s="360"/>
      <c r="BI44" s="360"/>
      <c r="BJ44" s="360"/>
      <c r="BK44" s="361"/>
      <c r="BL44" s="361"/>
      <c r="BM44" s="361"/>
      <c r="BN44" s="361"/>
      <c r="BO44" s="361"/>
      <c r="BP44" s="361"/>
      <c r="BQ44" s="355"/>
      <c r="BR44" s="355"/>
      <c r="BS44" s="361"/>
      <c r="BT44" s="360"/>
      <c r="BU44" s="364"/>
      <c r="BV44" s="361"/>
      <c r="BW44" s="361"/>
      <c r="BX44" s="357"/>
      <c r="BY44" s="357"/>
      <c r="BZ44" s="359"/>
      <c r="CA44" s="359"/>
      <c r="CB44" s="354"/>
      <c r="CC44" s="354"/>
      <c r="CD44" s="359"/>
      <c r="CE44" s="362"/>
      <c r="CF44" s="362"/>
      <c r="CG44" s="362"/>
      <c r="CH44" s="362"/>
      <c r="CI44" s="362"/>
      <c r="CJ44" s="362"/>
      <c r="CK44" s="358"/>
      <c r="CL44" s="358"/>
      <c r="CM44" s="358"/>
      <c r="CN44" s="362"/>
      <c r="CO44" s="362"/>
      <c r="CP44" s="362"/>
      <c r="CQ44" s="362"/>
      <c r="CR44" s="362"/>
      <c r="CS44" s="361"/>
      <c r="CT44" s="362"/>
      <c r="CU44" s="362"/>
      <c r="CV44" s="362"/>
      <c r="CW44" s="362"/>
      <c r="CX44" s="362"/>
      <c r="CY44" s="359"/>
      <c r="CZ44" s="359"/>
      <c r="DA44" s="361"/>
      <c r="DB44" s="361"/>
      <c r="DC44" s="359"/>
      <c r="DD44" s="361"/>
      <c r="DE44" s="360"/>
      <c r="DF44" s="360"/>
      <c r="DG44" s="361"/>
      <c r="DH44" s="361"/>
      <c r="DI44" s="360"/>
      <c r="DJ44" s="361"/>
      <c r="DK44" s="359"/>
      <c r="DL44" s="361"/>
      <c r="DM44" s="358"/>
      <c r="DN44" s="362"/>
      <c r="DO44" s="355"/>
      <c r="DP44" s="362"/>
      <c r="DQ44" s="359"/>
      <c r="DR44" s="358"/>
      <c r="DS44" s="358"/>
      <c r="DT44" s="358"/>
      <c r="DU44" s="361"/>
      <c r="DV44" s="361"/>
      <c r="DW44" s="361"/>
      <c r="DX44" s="361"/>
      <c r="DY44" s="362"/>
      <c r="DZ44" s="362"/>
      <c r="EA44" s="361"/>
      <c r="EB44" s="359"/>
      <c r="EC44" s="359"/>
      <c r="ED44" s="362"/>
      <c r="EE44" s="358"/>
      <c r="EF44" s="358"/>
      <c r="EG44" s="359"/>
      <c r="EH44" s="387"/>
      <c r="EI44" s="361"/>
      <c r="EJ44" s="355"/>
      <c r="EK44" s="361"/>
      <c r="EL44" s="373"/>
      <c r="EM44" s="360"/>
      <c r="EN44" s="373"/>
      <c r="EO44" s="361"/>
      <c r="EP44" s="360"/>
      <c r="EQ44" s="364"/>
      <c r="ER44" s="360"/>
      <c r="ES44" s="361"/>
      <c r="ET44" s="374"/>
      <c r="EU44" s="361"/>
      <c r="EV44" s="362"/>
      <c r="EW44" s="361"/>
      <c r="EX44" s="362"/>
      <c r="EY44" s="362"/>
      <c r="EZ44" s="361"/>
      <c r="FA44" s="362"/>
      <c r="FB44" s="361"/>
      <c r="FC44" s="361"/>
      <c r="FD44" s="362"/>
      <c r="FE44" s="362"/>
      <c r="FF44" s="359"/>
      <c r="FG44" s="362"/>
      <c r="FH44" s="358"/>
      <c r="FI44" s="362"/>
      <c r="FJ44" s="361"/>
      <c r="FK44" s="355"/>
      <c r="FL44" s="355"/>
      <c r="FM44" s="359"/>
      <c r="FN44" s="359"/>
      <c r="FO44" s="355"/>
      <c r="FP44" s="355"/>
      <c r="FQ44" s="360"/>
      <c r="FR44" s="378"/>
      <c r="FS44" s="356"/>
      <c r="FT44" s="356"/>
      <c r="FU44" s="378"/>
      <c r="FV44" s="378"/>
      <c r="FW44" s="378"/>
      <c r="FX44" s="363"/>
      <c r="FY44" s="378"/>
      <c r="FZ44" s="378"/>
      <c r="GA44" s="378"/>
      <c r="GB44" s="378"/>
      <c r="GC44" s="378"/>
      <c r="GD44" s="378"/>
      <c r="GE44" s="378"/>
      <c r="GF44" s="378"/>
      <c r="GG44" s="378"/>
      <c r="GH44" s="378"/>
      <c r="GI44" s="382"/>
      <c r="GJ44" s="382"/>
      <c r="GK44" s="374"/>
      <c r="GL44" s="374"/>
      <c r="GM44" s="378"/>
      <c r="GN44" s="378"/>
      <c r="GO44" s="378"/>
      <c r="GP44" s="355"/>
      <c r="GQ44" s="361"/>
      <c r="GR44" s="361"/>
    </row>
    <row r="45" spans="1:200" ht="13.5" customHeight="1" x14ac:dyDescent="0.2">
      <c r="A45" s="355"/>
      <c r="B45" s="355"/>
      <c r="C45" s="361"/>
      <c r="D45" s="358"/>
      <c r="E45" s="362"/>
      <c r="F45" s="362"/>
      <c r="G45" s="358"/>
      <c r="H45" s="361"/>
      <c r="I45" s="361"/>
      <c r="J45" s="356"/>
      <c r="K45" s="364"/>
      <c r="L45" s="356"/>
      <c r="M45" s="356"/>
      <c r="N45" s="356"/>
      <c r="O45" s="356"/>
      <c r="P45" s="361"/>
      <c r="Q45" s="361"/>
      <c r="R45" s="361"/>
      <c r="S45" s="360"/>
      <c r="T45" s="361"/>
      <c r="U45" s="360"/>
      <c r="V45" s="361"/>
      <c r="W45" s="361"/>
      <c r="X45" s="361"/>
      <c r="Y45" s="361"/>
      <c r="Z45" s="361"/>
      <c r="AA45" s="361"/>
      <c r="AB45" s="361"/>
      <c r="AC45" s="361"/>
      <c r="AD45" s="361"/>
      <c r="AE45" s="361"/>
      <c r="AF45" s="361"/>
      <c r="AG45" s="361"/>
      <c r="AH45" s="362"/>
      <c r="AI45" s="361"/>
      <c r="AJ45" s="361"/>
      <c r="AK45" s="356"/>
      <c r="AL45" s="354"/>
      <c r="AM45" s="354"/>
      <c r="AN45" s="354"/>
      <c r="AO45" s="354"/>
      <c r="AP45" s="358"/>
      <c r="AQ45" s="361"/>
      <c r="AR45" s="361"/>
      <c r="AS45" s="361"/>
      <c r="AT45" s="361"/>
      <c r="AU45" s="361"/>
      <c r="AV45" s="360"/>
      <c r="AW45" s="361"/>
      <c r="AX45" s="361"/>
      <c r="AY45" s="361"/>
      <c r="AZ45" s="362"/>
      <c r="BA45" s="355"/>
      <c r="BB45" s="361"/>
      <c r="BC45" s="355"/>
      <c r="BD45" s="360"/>
      <c r="BE45" s="360"/>
      <c r="BF45" s="364"/>
      <c r="BG45" s="364"/>
      <c r="BH45" s="361"/>
      <c r="BI45" s="360"/>
      <c r="BJ45" s="355"/>
      <c r="BK45" s="361"/>
      <c r="BL45" s="361"/>
      <c r="BM45" s="361"/>
      <c r="BN45" s="361"/>
      <c r="BO45" s="362"/>
      <c r="BP45" s="362"/>
      <c r="BQ45" s="362"/>
      <c r="BR45" s="360"/>
      <c r="BS45" s="360"/>
      <c r="BT45" s="360"/>
      <c r="BU45" s="361"/>
      <c r="BV45" s="362"/>
      <c r="BW45" s="357"/>
      <c r="BX45" s="357"/>
      <c r="BY45" s="359"/>
      <c r="BZ45" s="357"/>
      <c r="CA45" s="357"/>
      <c r="CB45" s="357"/>
      <c r="CC45" s="359"/>
      <c r="CD45" s="362"/>
      <c r="CE45" s="362"/>
      <c r="CF45" s="362"/>
      <c r="CG45" s="362"/>
      <c r="CH45" s="362"/>
      <c r="CI45" s="362"/>
      <c r="CJ45" s="362"/>
      <c r="CK45" s="359"/>
      <c r="CL45" s="362"/>
      <c r="CM45" s="362"/>
      <c r="CN45" s="359"/>
      <c r="CO45" s="359"/>
      <c r="CP45" s="359"/>
      <c r="CQ45" s="361"/>
      <c r="CR45" s="362"/>
      <c r="CS45" s="362"/>
      <c r="CT45" s="361"/>
      <c r="CU45" s="362"/>
      <c r="CV45" s="362"/>
      <c r="CW45" s="362"/>
      <c r="CX45" s="362"/>
      <c r="CY45" s="358"/>
      <c r="CZ45" s="357"/>
      <c r="DA45" s="359"/>
      <c r="DB45" s="361"/>
      <c r="DC45" s="358"/>
      <c r="DD45" s="357"/>
      <c r="DE45" s="361"/>
      <c r="DF45" s="360"/>
      <c r="DG45" s="360"/>
      <c r="DH45" s="362"/>
      <c r="DI45" s="364"/>
      <c r="DJ45" s="361"/>
      <c r="DK45" s="361"/>
      <c r="DL45" s="359"/>
      <c r="DM45" s="360"/>
      <c r="DN45" s="362"/>
      <c r="DO45" s="355"/>
      <c r="DP45" s="361"/>
      <c r="DQ45" s="359"/>
      <c r="DR45" s="359"/>
      <c r="DS45" s="358"/>
      <c r="DT45" s="359"/>
      <c r="DU45" s="361"/>
      <c r="DV45" s="361"/>
      <c r="DW45" s="364"/>
      <c r="DX45" s="362"/>
      <c r="DY45" s="362"/>
      <c r="DZ45" s="362"/>
      <c r="EA45" s="362"/>
      <c r="EB45" s="359"/>
      <c r="EC45" s="359"/>
      <c r="ED45" s="362"/>
      <c r="EE45" s="362"/>
      <c r="EF45" s="358"/>
      <c r="EG45" s="358"/>
      <c r="EH45" s="359"/>
      <c r="EI45" s="356"/>
      <c r="EJ45" s="362"/>
      <c r="EK45" s="362"/>
      <c r="EL45" s="373"/>
      <c r="EM45" s="361"/>
      <c r="EN45" s="361"/>
      <c r="EO45" s="361"/>
      <c r="EP45" s="361"/>
      <c r="EQ45" s="361"/>
      <c r="ER45" s="362"/>
      <c r="ES45" s="361"/>
      <c r="ET45" s="361"/>
      <c r="EU45" s="362"/>
      <c r="EV45" s="361"/>
      <c r="EW45" s="361"/>
      <c r="EX45" s="362"/>
      <c r="EY45" s="362"/>
      <c r="EZ45" s="361"/>
      <c r="FA45" s="361"/>
      <c r="FB45" s="361"/>
      <c r="FC45" s="362"/>
      <c r="FD45" s="362"/>
      <c r="FE45" s="362"/>
      <c r="FF45" s="359"/>
      <c r="FG45" s="359"/>
      <c r="FH45" s="358"/>
      <c r="FI45" s="358"/>
      <c r="FJ45" s="361"/>
      <c r="FK45" s="361"/>
      <c r="FL45" s="355"/>
      <c r="FM45" s="361"/>
      <c r="FN45" s="359"/>
      <c r="FO45" s="359"/>
      <c r="FP45" s="355"/>
      <c r="FQ45" s="360"/>
      <c r="FR45" s="360"/>
      <c r="FS45" s="378"/>
      <c r="FT45" s="356"/>
      <c r="FU45" s="356"/>
      <c r="FV45" s="378"/>
      <c r="FW45" s="378"/>
      <c r="FX45" s="378"/>
      <c r="FY45" s="378"/>
      <c r="FZ45" s="364"/>
      <c r="GA45" s="363"/>
      <c r="GB45" s="378"/>
      <c r="GC45" s="378"/>
      <c r="GD45" s="378"/>
      <c r="GE45" s="382"/>
      <c r="GF45" s="382"/>
      <c r="GG45" s="382"/>
      <c r="GH45" s="382"/>
      <c r="GI45" s="382"/>
      <c r="GJ45" s="374"/>
      <c r="GK45" s="374"/>
      <c r="GL45" s="374"/>
      <c r="GM45" s="374"/>
      <c r="GN45" s="355"/>
      <c r="GO45" s="356"/>
      <c r="GP45" s="361"/>
      <c r="GQ45" s="361"/>
      <c r="GR45" s="361"/>
    </row>
    <row r="46" spans="1:200" ht="13.5" customHeight="1" x14ac:dyDescent="0.2">
      <c r="A46" s="355"/>
      <c r="B46" s="355"/>
      <c r="C46" s="361"/>
      <c r="D46" s="358"/>
      <c r="E46" s="359"/>
      <c r="F46" s="358"/>
      <c r="G46" s="358"/>
      <c r="H46" s="355"/>
      <c r="I46" s="364"/>
      <c r="J46" s="364"/>
      <c r="K46" s="355"/>
      <c r="L46" s="355"/>
      <c r="M46" s="356"/>
      <c r="N46" s="356"/>
      <c r="O46" s="356"/>
      <c r="P46" s="356"/>
      <c r="Q46" s="355"/>
      <c r="R46" s="355"/>
      <c r="S46" s="361"/>
      <c r="T46" s="360"/>
      <c r="U46" s="360"/>
      <c r="V46" s="361"/>
      <c r="W46" s="361"/>
      <c r="X46" s="356"/>
      <c r="Y46" s="356"/>
      <c r="Z46" s="356"/>
      <c r="AA46" s="361"/>
      <c r="AB46" s="361"/>
      <c r="AC46" s="356"/>
      <c r="AD46" s="356"/>
      <c r="AE46" s="361"/>
      <c r="AF46" s="361"/>
      <c r="AG46" s="361"/>
      <c r="AH46" s="361"/>
      <c r="AI46" s="361"/>
      <c r="AJ46" s="361"/>
      <c r="AK46" s="361"/>
      <c r="AL46" s="381"/>
      <c r="AM46" s="354"/>
      <c r="AN46" s="354"/>
      <c r="AO46" s="354"/>
      <c r="AP46" s="364"/>
      <c r="AQ46" s="361"/>
      <c r="AR46" s="361"/>
      <c r="AS46" s="360"/>
      <c r="AT46" s="360"/>
      <c r="AU46" s="360"/>
      <c r="AV46" s="361"/>
      <c r="AW46" s="361"/>
      <c r="AX46" s="361"/>
      <c r="AY46" s="362"/>
      <c r="AZ46" s="361"/>
      <c r="BA46" s="356"/>
      <c r="BB46" s="355"/>
      <c r="BC46" s="360"/>
      <c r="BD46" s="364"/>
      <c r="BE46" s="364"/>
      <c r="BF46" s="361"/>
      <c r="BG46" s="361"/>
      <c r="BH46" s="361"/>
      <c r="BI46" s="361"/>
      <c r="BJ46" s="362"/>
      <c r="BK46" s="362"/>
      <c r="BL46" s="362"/>
      <c r="BM46" s="361"/>
      <c r="BN46" s="361"/>
      <c r="BO46" s="361"/>
      <c r="BP46" s="361"/>
      <c r="BQ46" s="360"/>
      <c r="BR46" s="360"/>
      <c r="BS46" s="360"/>
      <c r="BT46" s="361"/>
      <c r="BU46" s="362"/>
      <c r="BV46" s="357"/>
      <c r="BW46" s="354"/>
      <c r="BX46" s="359"/>
      <c r="BY46" s="354"/>
      <c r="BZ46" s="354"/>
      <c r="CA46" s="354"/>
      <c r="CB46" s="359"/>
      <c r="CC46" s="362"/>
      <c r="CD46" s="362"/>
      <c r="CE46" s="362"/>
      <c r="CF46" s="357"/>
      <c r="CG46" s="377"/>
      <c r="CH46" s="354"/>
      <c r="CI46" s="358"/>
      <c r="CJ46" s="360"/>
      <c r="CK46" s="355"/>
      <c r="CL46" s="362"/>
      <c r="CM46" s="362"/>
      <c r="CN46" s="362"/>
      <c r="CO46" s="358"/>
      <c r="CP46" s="359"/>
      <c r="CQ46" s="359"/>
      <c r="CR46" s="361"/>
      <c r="CS46" s="361"/>
      <c r="CT46" s="361"/>
      <c r="CU46" s="361"/>
      <c r="CV46" s="362"/>
      <c r="CW46" s="362"/>
      <c r="CX46" s="362"/>
      <c r="CY46" s="362"/>
      <c r="CZ46" s="362"/>
      <c r="DA46" s="359"/>
      <c r="DB46" s="362"/>
      <c r="DC46" s="361"/>
      <c r="DD46" s="357"/>
      <c r="DE46" s="357"/>
      <c r="DF46" s="361"/>
      <c r="DG46" s="361"/>
      <c r="DH46" s="362"/>
      <c r="DI46" s="360"/>
      <c r="DJ46" s="364"/>
      <c r="DK46" s="361"/>
      <c r="DL46" s="358"/>
      <c r="DM46" s="361"/>
      <c r="DN46" s="361"/>
      <c r="DO46" s="362"/>
      <c r="DP46" s="361"/>
      <c r="DQ46" s="361"/>
      <c r="DR46" s="359"/>
      <c r="DS46" s="359"/>
      <c r="DT46" s="359"/>
      <c r="DU46" s="359"/>
      <c r="DV46" s="362"/>
      <c r="DW46" s="361"/>
      <c r="DX46" s="361"/>
      <c r="DY46" s="362"/>
      <c r="DZ46" s="362"/>
      <c r="EA46" s="362"/>
      <c r="EB46" s="359"/>
      <c r="EC46" s="359"/>
      <c r="ED46" s="362"/>
      <c r="EE46" s="362"/>
      <c r="EF46" s="362"/>
      <c r="EG46" s="362"/>
      <c r="EH46" s="362"/>
      <c r="EI46" s="359"/>
      <c r="EJ46" s="361"/>
      <c r="EK46" s="362"/>
      <c r="EL46" s="361"/>
      <c r="EM46" s="361"/>
      <c r="EN46" s="361"/>
      <c r="EO46" s="361"/>
      <c r="EP46" s="361"/>
      <c r="EQ46" s="362"/>
      <c r="ER46" s="361"/>
      <c r="ES46" s="361"/>
      <c r="ET46" s="362"/>
      <c r="EU46" s="361"/>
      <c r="EV46" s="362"/>
      <c r="EW46" s="362"/>
      <c r="EX46" s="362"/>
      <c r="EY46" s="362"/>
      <c r="EZ46" s="362"/>
      <c r="FA46" s="362"/>
      <c r="FB46" s="361"/>
      <c r="FC46" s="362"/>
      <c r="FD46" s="362"/>
      <c r="FE46" s="362"/>
      <c r="FF46" s="358"/>
      <c r="FG46" s="359"/>
      <c r="FH46" s="359"/>
      <c r="FI46" s="355"/>
      <c r="FJ46" s="362"/>
      <c r="FK46" s="362"/>
      <c r="FL46" s="362"/>
      <c r="FM46" s="362"/>
      <c r="FN46" s="362"/>
      <c r="FO46" s="359"/>
      <c r="FP46" s="359"/>
      <c r="FQ46" s="355"/>
      <c r="FR46" s="364"/>
      <c r="FS46" s="378"/>
      <c r="FT46" s="378"/>
      <c r="FU46" s="356"/>
      <c r="FV46" s="356"/>
      <c r="FW46" s="378"/>
      <c r="FX46" s="378"/>
      <c r="FY46" s="378"/>
      <c r="FZ46" s="378"/>
      <c r="GA46" s="378"/>
      <c r="GB46" s="378"/>
      <c r="GC46" s="378"/>
      <c r="GD46" s="374"/>
      <c r="GE46" s="373"/>
      <c r="GF46" s="373"/>
      <c r="GG46" s="373"/>
      <c r="GH46" s="373"/>
      <c r="GI46" s="373"/>
      <c r="GJ46" s="374"/>
      <c r="GK46" s="373"/>
      <c r="GL46" s="355"/>
      <c r="GM46" s="356"/>
      <c r="GN46" s="373"/>
      <c r="GO46" s="361"/>
      <c r="GP46" s="361"/>
      <c r="GQ46" s="361"/>
      <c r="GR46" s="361"/>
    </row>
    <row r="47" spans="1:200" ht="13.5" customHeight="1" x14ac:dyDescent="0.2">
      <c r="A47" s="361"/>
      <c r="B47" s="355"/>
      <c r="C47" s="387"/>
      <c r="D47" s="361"/>
      <c r="E47" s="358"/>
      <c r="F47" s="359"/>
      <c r="G47" s="359"/>
      <c r="H47" s="358"/>
      <c r="I47" s="361"/>
      <c r="J47" s="360"/>
      <c r="K47" s="364"/>
      <c r="L47" s="360"/>
      <c r="M47" s="361"/>
      <c r="N47" s="355"/>
      <c r="O47" s="356"/>
      <c r="P47" s="360"/>
      <c r="Q47" s="361"/>
      <c r="R47" s="356"/>
      <c r="S47" s="355"/>
      <c r="T47" s="355"/>
      <c r="U47" s="361"/>
      <c r="V47" s="361"/>
      <c r="W47" s="364"/>
      <c r="X47" s="360"/>
      <c r="Y47" s="361"/>
      <c r="Z47" s="361"/>
      <c r="AA47" s="361"/>
      <c r="AB47" s="361"/>
      <c r="AC47" s="361"/>
      <c r="AD47" s="361"/>
      <c r="AE47" s="360"/>
      <c r="AF47" s="360"/>
      <c r="AG47" s="361"/>
      <c r="AH47" s="361"/>
      <c r="AI47" s="361"/>
      <c r="AJ47" s="361"/>
      <c r="AK47" s="356"/>
      <c r="AL47" s="381"/>
      <c r="AM47" s="354"/>
      <c r="AN47" s="354"/>
      <c r="AO47" s="354"/>
      <c r="AP47" s="354"/>
      <c r="AQ47" s="360"/>
      <c r="AR47" s="360"/>
      <c r="AS47" s="360"/>
      <c r="AT47" s="361"/>
      <c r="AU47" s="361"/>
      <c r="AV47" s="361"/>
      <c r="AW47" s="355"/>
      <c r="AX47" s="362"/>
      <c r="AY47" s="361"/>
      <c r="AZ47" s="355"/>
      <c r="BA47" s="356"/>
      <c r="BB47" s="360"/>
      <c r="BC47" s="361"/>
      <c r="BD47" s="361"/>
      <c r="BE47" s="361"/>
      <c r="BF47" s="361"/>
      <c r="BG47" s="361"/>
      <c r="BH47" s="361"/>
      <c r="BI47" s="362"/>
      <c r="BJ47" s="362"/>
      <c r="BK47" s="361"/>
      <c r="BL47" s="361"/>
      <c r="BM47" s="361"/>
      <c r="BN47" s="361"/>
      <c r="BO47" s="361"/>
      <c r="BP47" s="360"/>
      <c r="BQ47" s="360"/>
      <c r="BR47" s="362"/>
      <c r="BS47" s="362"/>
      <c r="BT47" s="362"/>
      <c r="BU47" s="357"/>
      <c r="BV47" s="354"/>
      <c r="BW47" s="357"/>
      <c r="BX47" s="359"/>
      <c r="BY47" s="357"/>
      <c r="BZ47" s="354"/>
      <c r="CA47" s="359"/>
      <c r="CB47" s="362"/>
      <c r="CC47" s="361"/>
      <c r="CD47" s="362"/>
      <c r="CE47" s="357"/>
      <c r="CF47" s="377"/>
      <c r="CG47" s="354"/>
      <c r="CH47" s="354"/>
      <c r="CI47" s="354"/>
      <c r="CJ47" s="364"/>
      <c r="CK47" s="360"/>
      <c r="CL47" s="364"/>
      <c r="CM47" s="360"/>
      <c r="CN47" s="362"/>
      <c r="CO47" s="362"/>
      <c r="CP47" s="362"/>
      <c r="CQ47" s="355"/>
      <c r="CR47" s="359"/>
      <c r="CS47" s="362"/>
      <c r="CT47" s="362"/>
      <c r="CU47" s="362"/>
      <c r="CV47" s="361"/>
      <c r="CW47" s="362"/>
      <c r="CX47" s="361"/>
      <c r="CY47" s="362"/>
      <c r="CZ47" s="362"/>
      <c r="DA47" s="359"/>
      <c r="DB47" s="362"/>
      <c r="DC47" s="361"/>
      <c r="DD47" s="361"/>
      <c r="DE47" s="357"/>
      <c r="DF47" s="361"/>
      <c r="DG47" s="361"/>
      <c r="DH47" s="361"/>
      <c r="DI47" s="361"/>
      <c r="DJ47" s="360"/>
      <c r="DK47" s="362"/>
      <c r="DL47" s="362"/>
      <c r="DM47" s="359"/>
      <c r="DN47" s="361"/>
      <c r="DO47" s="361"/>
      <c r="DP47" s="361"/>
      <c r="DQ47" s="361"/>
      <c r="DR47" s="358"/>
      <c r="DS47" s="358"/>
      <c r="DT47" s="359"/>
      <c r="DU47" s="359"/>
      <c r="DV47" s="361"/>
      <c r="DW47" s="359"/>
      <c r="DX47" s="361"/>
      <c r="DY47" s="362"/>
      <c r="DZ47" s="362"/>
      <c r="EA47" s="362"/>
      <c r="EB47" s="362"/>
      <c r="EC47" s="359"/>
      <c r="ED47" s="362"/>
      <c r="EE47" s="362"/>
      <c r="EF47" s="362"/>
      <c r="EG47" s="359"/>
      <c r="EH47" s="362"/>
      <c r="EI47" s="362"/>
      <c r="EJ47" s="362"/>
      <c r="EK47" s="362"/>
      <c r="EL47" s="362"/>
      <c r="EM47" s="362"/>
      <c r="EN47" s="362"/>
      <c r="EO47" s="362"/>
      <c r="EP47" s="362"/>
      <c r="EQ47" s="362"/>
      <c r="ER47" s="362"/>
      <c r="ES47" s="361"/>
      <c r="ET47" s="362"/>
      <c r="EU47" s="362"/>
      <c r="EV47" s="361"/>
      <c r="EW47" s="361"/>
      <c r="EX47" s="361"/>
      <c r="EY47" s="362"/>
      <c r="EZ47" s="361"/>
      <c r="FA47" s="362"/>
      <c r="FB47" s="361"/>
      <c r="FC47" s="361"/>
      <c r="FD47" s="362"/>
      <c r="FE47" s="362"/>
      <c r="FF47" s="358"/>
      <c r="FG47" s="359"/>
      <c r="FH47" s="359"/>
      <c r="FI47" s="358"/>
      <c r="FJ47" s="361"/>
      <c r="FK47" s="361"/>
      <c r="FL47" s="362"/>
      <c r="FM47" s="362"/>
      <c r="FN47" s="362"/>
      <c r="FO47" s="355"/>
      <c r="FP47" s="360"/>
      <c r="FQ47" s="364"/>
      <c r="FR47" s="356"/>
      <c r="FS47" s="364"/>
      <c r="FT47" s="364"/>
      <c r="FU47" s="378"/>
      <c r="FV47" s="355"/>
      <c r="FW47" s="356"/>
      <c r="FX47" s="364"/>
      <c r="FY47" s="364"/>
      <c r="FZ47" s="364"/>
      <c r="GA47" s="364"/>
      <c r="GB47" s="378"/>
      <c r="GC47" s="378"/>
      <c r="GD47" s="378"/>
      <c r="GE47" s="363"/>
      <c r="GF47" s="363"/>
      <c r="GG47" s="374"/>
      <c r="GH47" s="373"/>
      <c r="GI47" s="374"/>
      <c r="GJ47" s="356"/>
      <c r="GK47" s="373"/>
      <c r="GL47" s="373"/>
      <c r="GM47" s="373"/>
      <c r="GN47" s="373"/>
      <c r="GO47" s="361"/>
      <c r="GP47" s="361"/>
      <c r="GQ47" s="361"/>
      <c r="GR47" s="361"/>
    </row>
    <row r="48" spans="1:200" ht="13.5" customHeight="1" x14ac:dyDescent="0.2">
      <c r="A48" s="362"/>
      <c r="B48" s="361"/>
      <c r="C48" s="355"/>
      <c r="D48" s="361"/>
      <c r="E48" s="359"/>
      <c r="F48" s="358"/>
      <c r="G48" s="359"/>
      <c r="H48" s="359"/>
      <c r="I48" s="362"/>
      <c r="J48" s="361"/>
      <c r="K48" s="364"/>
      <c r="L48" s="364"/>
      <c r="M48" s="360"/>
      <c r="N48" s="361"/>
      <c r="O48" s="361"/>
      <c r="P48" s="361"/>
      <c r="Q48" s="360"/>
      <c r="R48" s="361"/>
      <c r="S48" s="361"/>
      <c r="T48" s="355"/>
      <c r="U48" s="355"/>
      <c r="V48" s="356"/>
      <c r="W48" s="356"/>
      <c r="X48" s="356"/>
      <c r="Y48" s="356"/>
      <c r="Z48" s="360"/>
      <c r="AA48" s="361"/>
      <c r="AB48" s="361"/>
      <c r="AC48" s="361"/>
      <c r="AD48" s="360"/>
      <c r="AE48" s="361"/>
      <c r="AF48" s="362"/>
      <c r="AG48" s="362"/>
      <c r="AH48" s="361"/>
      <c r="AI48" s="361"/>
      <c r="AJ48" s="361"/>
      <c r="AK48" s="356"/>
      <c r="AL48" s="380"/>
      <c r="AM48" s="357"/>
      <c r="AN48" s="354"/>
      <c r="AO48" s="354"/>
      <c r="AP48" s="354"/>
      <c r="AQ48" s="357"/>
      <c r="AR48" s="361"/>
      <c r="AS48" s="361"/>
      <c r="AT48" s="361"/>
      <c r="AU48" s="362"/>
      <c r="AV48" s="362"/>
      <c r="AW48" s="355"/>
      <c r="AX48" s="355"/>
      <c r="AY48" s="355"/>
      <c r="AZ48" s="361"/>
      <c r="BA48" s="361"/>
      <c r="BB48" s="361"/>
      <c r="BC48" s="361"/>
      <c r="BD48" s="361"/>
      <c r="BE48" s="364"/>
      <c r="BF48" s="361"/>
      <c r="BG48" s="361"/>
      <c r="BH48" s="362"/>
      <c r="BI48" s="361"/>
      <c r="BJ48" s="361"/>
      <c r="BK48" s="355"/>
      <c r="BL48" s="355"/>
      <c r="BM48" s="361"/>
      <c r="BN48" s="356"/>
      <c r="BO48" s="356"/>
      <c r="BP48" s="361"/>
      <c r="BQ48" s="362"/>
      <c r="BR48" s="362"/>
      <c r="BS48" s="362"/>
      <c r="BT48" s="359"/>
      <c r="BU48" s="357"/>
      <c r="BV48" s="357"/>
      <c r="BW48" s="357"/>
      <c r="BX48" s="359"/>
      <c r="BY48" s="354"/>
      <c r="BZ48" s="358"/>
      <c r="CA48" s="362"/>
      <c r="CB48" s="361"/>
      <c r="CC48" s="361"/>
      <c r="CD48" s="361"/>
      <c r="CE48" s="354"/>
      <c r="CF48" s="354"/>
      <c r="CG48" s="354"/>
      <c r="CH48" s="354"/>
      <c r="CI48" s="354"/>
      <c r="CJ48" s="360"/>
      <c r="CK48" s="360"/>
      <c r="CL48" s="361"/>
      <c r="CM48" s="361"/>
      <c r="CN48" s="360"/>
      <c r="CO48" s="361"/>
      <c r="CP48" s="355"/>
      <c r="CQ48" s="361"/>
      <c r="CR48" s="361"/>
      <c r="CS48" s="357"/>
      <c r="CT48" s="361"/>
      <c r="CU48" s="362"/>
      <c r="CV48" s="361"/>
      <c r="CW48" s="361"/>
      <c r="CX48" s="361"/>
      <c r="CY48" s="362"/>
      <c r="CZ48" s="362"/>
      <c r="DA48" s="361"/>
      <c r="DB48" s="359"/>
      <c r="DC48" s="361"/>
      <c r="DD48" s="361"/>
      <c r="DE48" s="357"/>
      <c r="DF48" s="357"/>
      <c r="DG48" s="361"/>
      <c r="DH48" s="362"/>
      <c r="DI48" s="362"/>
      <c r="DJ48" s="361"/>
      <c r="DK48" s="361"/>
      <c r="DL48" s="362"/>
      <c r="DM48" s="359"/>
      <c r="DN48" s="361"/>
      <c r="DO48" s="361"/>
      <c r="DP48" s="361"/>
      <c r="DQ48" s="361"/>
      <c r="DR48" s="358"/>
      <c r="DS48" s="355"/>
      <c r="DT48" s="359"/>
      <c r="DU48" s="359"/>
      <c r="DV48" s="361"/>
      <c r="DW48" s="359"/>
      <c r="DX48" s="362"/>
      <c r="DY48" s="362"/>
      <c r="DZ48" s="362"/>
      <c r="EA48" s="362"/>
      <c r="EB48" s="362"/>
      <c r="EC48" s="359"/>
      <c r="ED48" s="358"/>
      <c r="EE48" s="362"/>
      <c r="EF48" s="362"/>
      <c r="EG48" s="359"/>
      <c r="EH48" s="362"/>
      <c r="EI48" s="362"/>
      <c r="EJ48" s="362"/>
      <c r="EK48" s="362"/>
      <c r="EL48" s="362"/>
      <c r="EM48" s="362"/>
      <c r="EN48" s="361"/>
      <c r="EO48" s="361"/>
      <c r="EP48" s="362"/>
      <c r="EQ48" s="362"/>
      <c r="ER48" s="362"/>
      <c r="ES48" s="362"/>
      <c r="ET48" s="362"/>
      <c r="EU48" s="361"/>
      <c r="EV48" s="361"/>
      <c r="EW48" s="361"/>
      <c r="EX48" s="361"/>
      <c r="EY48" s="361"/>
      <c r="EZ48" s="361"/>
      <c r="FA48" s="362"/>
      <c r="FB48" s="362"/>
      <c r="FC48" s="361"/>
      <c r="FD48" s="362"/>
      <c r="FE48" s="362"/>
      <c r="FF48" s="362"/>
      <c r="FG48" s="358"/>
      <c r="FH48" s="359"/>
      <c r="FI48" s="358"/>
      <c r="FJ48" s="358"/>
      <c r="FK48" s="360"/>
      <c r="FL48" s="361"/>
      <c r="FM48" s="361"/>
      <c r="FN48" s="362"/>
      <c r="FO48" s="362"/>
      <c r="FP48" s="356"/>
      <c r="FQ48" s="364"/>
      <c r="FR48" s="374"/>
      <c r="FS48" s="356"/>
      <c r="FT48" s="355"/>
      <c r="FU48" s="360"/>
      <c r="FV48" s="356"/>
      <c r="FW48" s="355"/>
      <c r="FX48" s="355"/>
      <c r="FY48" s="361"/>
      <c r="FZ48" s="364"/>
      <c r="GA48" s="364"/>
      <c r="GB48" s="373"/>
      <c r="GC48" s="374"/>
      <c r="GD48" s="374"/>
      <c r="GE48" s="374"/>
      <c r="GF48" s="356"/>
      <c r="GG48" s="374"/>
      <c r="GH48" s="373"/>
      <c r="GI48" s="356"/>
      <c r="GJ48" s="356"/>
      <c r="GK48" s="373"/>
      <c r="GL48" s="373"/>
      <c r="GM48" s="373"/>
      <c r="GN48" s="373"/>
      <c r="GO48" s="361"/>
      <c r="GP48" s="361"/>
      <c r="GQ48" s="361"/>
      <c r="GR48" s="361"/>
    </row>
    <row r="49" spans="1:200" ht="13.5" customHeight="1" x14ac:dyDescent="0.2">
      <c r="A49" s="355"/>
      <c r="B49" s="355"/>
      <c r="C49" s="361"/>
      <c r="D49" s="361"/>
      <c r="E49" s="361"/>
      <c r="F49" s="359"/>
      <c r="G49" s="355"/>
      <c r="H49" s="359"/>
      <c r="I49" s="358"/>
      <c r="J49" s="358"/>
      <c r="K49" s="361"/>
      <c r="L49" s="361"/>
      <c r="M49" s="385"/>
      <c r="N49" s="360"/>
      <c r="O49" s="361"/>
      <c r="P49" s="361"/>
      <c r="Q49" s="361"/>
      <c r="R49" s="361"/>
      <c r="S49" s="361"/>
      <c r="T49" s="356"/>
      <c r="U49" s="356"/>
      <c r="V49" s="355"/>
      <c r="W49" s="361"/>
      <c r="X49" s="361"/>
      <c r="Y49" s="360"/>
      <c r="Z49" s="364"/>
      <c r="AA49" s="355"/>
      <c r="AB49" s="362"/>
      <c r="AC49" s="362"/>
      <c r="AD49" s="362"/>
      <c r="AE49" s="361"/>
      <c r="AF49" s="361"/>
      <c r="AG49" s="361"/>
      <c r="AH49" s="361"/>
      <c r="AI49" s="361"/>
      <c r="AJ49" s="361"/>
      <c r="AK49" s="355"/>
      <c r="AL49" s="380"/>
      <c r="AM49" s="357"/>
      <c r="AN49" s="354"/>
      <c r="AO49" s="354"/>
      <c r="AP49" s="354"/>
      <c r="AQ49" s="357"/>
      <c r="AR49" s="360"/>
      <c r="AS49" s="361"/>
      <c r="AT49" s="361"/>
      <c r="AU49" s="362"/>
      <c r="AV49" s="355"/>
      <c r="AW49" s="361"/>
      <c r="AX49" s="361"/>
      <c r="AY49" s="362"/>
      <c r="AZ49" s="361"/>
      <c r="BA49" s="360"/>
      <c r="BB49" s="361"/>
      <c r="BC49" s="361"/>
      <c r="BD49" s="364"/>
      <c r="BE49" s="364"/>
      <c r="BF49" s="361"/>
      <c r="BG49" s="361"/>
      <c r="BH49" s="362"/>
      <c r="BI49" s="361"/>
      <c r="BJ49" s="355"/>
      <c r="BK49" s="364"/>
      <c r="BL49" s="360"/>
      <c r="BM49" s="360"/>
      <c r="BN49" s="367"/>
      <c r="BO49" s="360"/>
      <c r="BP49" s="355"/>
      <c r="BQ49" s="361"/>
      <c r="BR49" s="362"/>
      <c r="BS49" s="362"/>
      <c r="BT49" s="357"/>
      <c r="BU49" s="357"/>
      <c r="BV49" s="358"/>
      <c r="BW49" s="354"/>
      <c r="BX49" s="354"/>
      <c r="BY49" s="357"/>
      <c r="BZ49" s="362"/>
      <c r="CA49" s="362"/>
      <c r="CB49" s="361"/>
      <c r="CC49" s="361"/>
      <c r="CD49" s="355"/>
      <c r="CE49" s="354"/>
      <c r="CF49" s="355"/>
      <c r="CG49" s="354"/>
      <c r="CH49" s="354"/>
      <c r="CI49" s="354"/>
      <c r="CJ49" s="361"/>
      <c r="CK49" s="361"/>
      <c r="CL49" s="360"/>
      <c r="CM49" s="361"/>
      <c r="CN49" s="361"/>
      <c r="CO49" s="364"/>
      <c r="CP49" s="361"/>
      <c r="CQ49" s="359"/>
      <c r="CR49" s="361"/>
      <c r="CS49" s="359"/>
      <c r="CT49" s="359"/>
      <c r="CU49" s="361"/>
      <c r="CV49" s="361"/>
      <c r="CW49" s="361"/>
      <c r="CX49" s="362"/>
      <c r="CY49" s="361"/>
      <c r="CZ49" s="362"/>
      <c r="DA49" s="361"/>
      <c r="DB49" s="359"/>
      <c r="DC49" s="361"/>
      <c r="DD49" s="361"/>
      <c r="DE49" s="359"/>
      <c r="DF49" s="359"/>
      <c r="DG49" s="361"/>
      <c r="DH49" s="355"/>
      <c r="DI49" s="362"/>
      <c r="DJ49" s="361"/>
      <c r="DK49" s="361"/>
      <c r="DL49" s="362"/>
      <c r="DM49" s="362"/>
      <c r="DN49" s="359"/>
      <c r="DO49" s="361"/>
      <c r="DP49" s="361"/>
      <c r="DQ49" s="361"/>
      <c r="DR49" s="362"/>
      <c r="DS49" s="361"/>
      <c r="DT49" s="362"/>
      <c r="DU49" s="357"/>
      <c r="DV49" s="359"/>
      <c r="DW49" s="362"/>
      <c r="DX49" s="358"/>
      <c r="DY49" s="359"/>
      <c r="DZ49" s="362"/>
      <c r="EA49" s="362"/>
      <c r="EB49" s="361"/>
      <c r="EC49" s="359"/>
      <c r="ED49" s="358"/>
      <c r="EE49" s="362"/>
      <c r="EF49" s="362"/>
      <c r="EG49" s="359"/>
      <c r="EH49" s="358"/>
      <c r="EI49" s="362"/>
      <c r="EJ49" s="358"/>
      <c r="EK49" s="362"/>
      <c r="EL49" s="362"/>
      <c r="EM49" s="362"/>
      <c r="EN49" s="362"/>
      <c r="EO49" s="362"/>
      <c r="EP49" s="362"/>
      <c r="EQ49" s="362"/>
      <c r="ER49" s="362"/>
      <c r="ES49" s="361"/>
      <c r="ET49" s="361"/>
      <c r="EU49" s="361"/>
      <c r="EV49" s="361"/>
      <c r="EW49" s="361"/>
      <c r="EX49" s="362"/>
      <c r="EY49" s="362"/>
      <c r="EZ49" s="362"/>
      <c r="FA49" s="361"/>
      <c r="FB49" s="362"/>
      <c r="FC49" s="362"/>
      <c r="FD49" s="362"/>
      <c r="FE49" s="362"/>
      <c r="FF49" s="362"/>
      <c r="FG49" s="359"/>
      <c r="FH49" s="358"/>
      <c r="FI49" s="359"/>
      <c r="FJ49" s="359"/>
      <c r="FK49" s="359"/>
      <c r="FL49" s="360"/>
      <c r="FM49" s="361"/>
      <c r="FN49" s="361"/>
      <c r="FO49" s="362"/>
      <c r="FP49" s="362"/>
      <c r="FQ49" s="362"/>
      <c r="FR49" s="355"/>
      <c r="FS49" s="385"/>
      <c r="FT49" s="364"/>
      <c r="FU49" s="356"/>
      <c r="FV49" s="360"/>
      <c r="FW49" s="355"/>
      <c r="FX49" s="361"/>
      <c r="FY49" s="361"/>
      <c r="FZ49" s="361"/>
      <c r="GA49" s="385"/>
      <c r="GB49" s="374"/>
      <c r="GC49" s="374"/>
      <c r="GD49" s="374"/>
      <c r="GE49" s="358"/>
      <c r="GF49" s="355"/>
      <c r="GG49" s="362"/>
      <c r="GH49" s="362"/>
      <c r="GI49" s="361"/>
      <c r="GJ49" s="374"/>
      <c r="GK49" s="361"/>
      <c r="GL49" s="361"/>
      <c r="GM49" s="361"/>
      <c r="GN49" s="361"/>
      <c r="GO49" s="361"/>
      <c r="GP49" s="361"/>
      <c r="GQ49" s="361"/>
      <c r="GR49" s="361"/>
    </row>
    <row r="50" spans="1:200" ht="13.5" customHeight="1" x14ac:dyDescent="0.2">
      <c r="A50" s="361"/>
      <c r="B50" s="355"/>
      <c r="C50" s="361"/>
      <c r="D50" s="355"/>
      <c r="E50" s="361"/>
      <c r="F50" s="361"/>
      <c r="G50" s="359"/>
      <c r="H50" s="359"/>
      <c r="I50" s="358"/>
      <c r="J50" s="358"/>
      <c r="K50" s="362"/>
      <c r="L50" s="362"/>
      <c r="M50" s="360"/>
      <c r="N50" s="360"/>
      <c r="O50" s="361"/>
      <c r="P50" s="361"/>
      <c r="Q50" s="361"/>
      <c r="R50" s="361"/>
      <c r="S50" s="361"/>
      <c r="T50" s="360"/>
      <c r="U50" s="361"/>
      <c r="V50" s="361"/>
      <c r="W50" s="361"/>
      <c r="X50" s="361"/>
      <c r="Y50" s="361"/>
      <c r="Z50" s="361"/>
      <c r="AA50" s="361"/>
      <c r="AB50" s="361"/>
      <c r="AC50" s="362"/>
      <c r="AD50" s="362"/>
      <c r="AE50" s="361"/>
      <c r="AF50" s="361"/>
      <c r="AG50" s="361"/>
      <c r="AH50" s="361"/>
      <c r="AI50" s="361"/>
      <c r="AJ50" s="361"/>
      <c r="AK50" s="354"/>
      <c r="AL50" s="357"/>
      <c r="AM50" s="357"/>
      <c r="AN50" s="357"/>
      <c r="AO50" s="354"/>
      <c r="AP50" s="354"/>
      <c r="AQ50" s="357"/>
      <c r="AR50" s="364"/>
      <c r="AS50" s="355"/>
      <c r="AT50" s="355"/>
      <c r="AU50" s="362"/>
      <c r="AV50" s="361"/>
      <c r="AW50" s="361"/>
      <c r="AX50" s="355"/>
      <c r="AY50" s="360"/>
      <c r="AZ50" s="360"/>
      <c r="BA50" s="355"/>
      <c r="BB50" s="361"/>
      <c r="BC50" s="360"/>
      <c r="BD50" s="361"/>
      <c r="BE50" s="361"/>
      <c r="BF50" s="361"/>
      <c r="BG50" s="361"/>
      <c r="BH50" s="361"/>
      <c r="BI50" s="355"/>
      <c r="BJ50" s="356"/>
      <c r="BK50" s="360"/>
      <c r="BL50" s="360"/>
      <c r="BM50" s="360"/>
      <c r="BN50" s="356"/>
      <c r="BO50" s="356"/>
      <c r="BP50" s="356"/>
      <c r="BQ50" s="362"/>
      <c r="BR50" s="361"/>
      <c r="BS50" s="362"/>
      <c r="BT50" s="357"/>
      <c r="BU50" s="390"/>
      <c r="BV50" s="354"/>
      <c r="BW50" s="354"/>
      <c r="BX50" s="359"/>
      <c r="BY50" s="362"/>
      <c r="BZ50" s="362"/>
      <c r="CA50" s="361"/>
      <c r="CB50" s="361"/>
      <c r="CC50" s="362"/>
      <c r="CD50" s="354"/>
      <c r="CE50" s="354"/>
      <c r="CF50" s="377"/>
      <c r="CG50" s="377"/>
      <c r="CH50" s="377"/>
      <c r="CI50" s="377"/>
      <c r="CJ50" s="354"/>
      <c r="CK50" s="354"/>
      <c r="CL50" s="360"/>
      <c r="CM50" s="361"/>
      <c r="CN50" s="361"/>
      <c r="CO50" s="362"/>
      <c r="CP50" s="361"/>
      <c r="CQ50" s="361"/>
      <c r="CR50" s="359"/>
      <c r="CS50" s="361"/>
      <c r="CT50" s="359"/>
      <c r="CU50" s="362"/>
      <c r="CV50" s="362"/>
      <c r="CW50" s="362"/>
      <c r="CX50" s="361"/>
      <c r="CY50" s="361"/>
      <c r="CZ50" s="361"/>
      <c r="DA50" s="362"/>
      <c r="DB50" s="361"/>
      <c r="DC50" s="359"/>
      <c r="DD50" s="361"/>
      <c r="DE50" s="361"/>
      <c r="DF50" s="359"/>
      <c r="DG50" s="361"/>
      <c r="DH50" s="361"/>
      <c r="DI50" s="361"/>
      <c r="DJ50" s="361"/>
      <c r="DK50" s="361"/>
      <c r="DL50" s="361"/>
      <c r="DM50" s="362"/>
      <c r="DN50" s="355"/>
      <c r="DO50" s="361"/>
      <c r="DP50" s="360"/>
      <c r="DQ50" s="361"/>
      <c r="DR50" s="358"/>
      <c r="DS50" s="362"/>
      <c r="DT50" s="358"/>
      <c r="DU50" s="357"/>
      <c r="DV50" s="359"/>
      <c r="DW50" s="362"/>
      <c r="DX50" s="361"/>
      <c r="DY50" s="359"/>
      <c r="DZ50" s="359"/>
      <c r="EA50" s="362"/>
      <c r="EB50" s="361"/>
      <c r="EC50" s="362"/>
      <c r="ED50" s="358"/>
      <c r="EE50" s="359"/>
      <c r="EF50" s="362"/>
      <c r="EG50" s="362"/>
      <c r="EH50" s="359"/>
      <c r="EI50" s="362"/>
      <c r="EJ50" s="362"/>
      <c r="EK50" s="362"/>
      <c r="EL50" s="362"/>
      <c r="EM50" s="359"/>
      <c r="EN50" s="362"/>
      <c r="EO50" s="362"/>
      <c r="EP50" s="362"/>
      <c r="EQ50" s="362"/>
      <c r="ER50" s="361"/>
      <c r="ES50" s="362"/>
      <c r="ET50" s="361"/>
      <c r="EU50" s="362"/>
      <c r="EV50" s="362"/>
      <c r="EW50" s="362"/>
      <c r="EX50" s="362"/>
      <c r="EY50" s="361"/>
      <c r="EZ50" s="361"/>
      <c r="FA50" s="362"/>
      <c r="FB50" s="361"/>
      <c r="FC50" s="362"/>
      <c r="FD50" s="362"/>
      <c r="FE50" s="361"/>
      <c r="FF50" s="362"/>
      <c r="FG50" s="362"/>
      <c r="FH50" s="359"/>
      <c r="FI50" s="362"/>
      <c r="FJ50" s="359"/>
      <c r="FK50" s="359"/>
      <c r="FL50" s="361"/>
      <c r="FM50" s="360"/>
      <c r="FN50" s="361"/>
      <c r="FO50" s="355"/>
      <c r="FP50" s="362"/>
      <c r="FQ50" s="362"/>
      <c r="FR50" s="362"/>
      <c r="FS50" s="362"/>
      <c r="FT50" s="387"/>
      <c r="FU50" s="364"/>
      <c r="FV50" s="361"/>
      <c r="FW50" s="361"/>
      <c r="FX50" s="361"/>
      <c r="FY50" s="361"/>
      <c r="FZ50" s="361"/>
      <c r="GA50" s="361"/>
      <c r="GB50" s="361"/>
      <c r="GC50" s="373"/>
      <c r="GD50" s="356"/>
      <c r="GE50" s="361"/>
      <c r="GF50" s="355"/>
      <c r="GG50" s="355"/>
      <c r="GH50" s="355"/>
      <c r="GI50" s="361"/>
      <c r="GJ50" s="361"/>
      <c r="GK50" s="361"/>
      <c r="GL50" s="361"/>
      <c r="GM50" s="361"/>
      <c r="GN50" s="361"/>
      <c r="GO50" s="361"/>
      <c r="GP50" s="361"/>
      <c r="GQ50" s="361"/>
      <c r="GR50" s="361"/>
    </row>
    <row r="51" spans="1:200" ht="13.5" customHeight="1" x14ac:dyDescent="0.2">
      <c r="A51" s="355"/>
      <c r="B51" s="355"/>
      <c r="C51" s="355"/>
      <c r="D51" s="355"/>
      <c r="E51" s="387"/>
      <c r="F51" s="360"/>
      <c r="G51" s="361"/>
      <c r="H51" s="355"/>
      <c r="I51" s="359"/>
      <c r="J51" s="359"/>
      <c r="K51" s="362"/>
      <c r="L51" s="362"/>
      <c r="M51" s="355"/>
      <c r="N51" s="361"/>
      <c r="O51" s="361"/>
      <c r="P51" s="361"/>
      <c r="Q51" s="361"/>
      <c r="R51" s="361"/>
      <c r="S51" s="361"/>
      <c r="T51" s="361"/>
      <c r="U51" s="361"/>
      <c r="V51" s="361"/>
      <c r="W51" s="361"/>
      <c r="X51" s="361"/>
      <c r="Y51" s="361"/>
      <c r="Z51" s="361"/>
      <c r="AA51" s="361"/>
      <c r="AB51" s="361"/>
      <c r="AC51" s="362"/>
      <c r="AD51" s="361"/>
      <c r="AE51" s="361"/>
      <c r="AF51" s="361"/>
      <c r="AG51" s="361"/>
      <c r="AH51" s="361"/>
      <c r="AI51" s="360"/>
      <c r="AJ51" s="360"/>
      <c r="AK51" s="357"/>
      <c r="AL51" s="380"/>
      <c r="AM51" s="357"/>
      <c r="AN51" s="354"/>
      <c r="AO51" s="354"/>
      <c r="AP51" s="354"/>
      <c r="AQ51" s="354"/>
      <c r="AR51" s="364"/>
      <c r="AS51" s="361"/>
      <c r="AT51" s="361"/>
      <c r="AU51" s="361"/>
      <c r="AV51" s="362"/>
      <c r="AW51" s="355"/>
      <c r="AX51" s="360"/>
      <c r="AY51" s="361"/>
      <c r="AZ51" s="355"/>
      <c r="BA51" s="361"/>
      <c r="BB51" s="361"/>
      <c r="BC51" s="361"/>
      <c r="BD51" s="361"/>
      <c r="BE51" s="361"/>
      <c r="BF51" s="361"/>
      <c r="BG51" s="361"/>
      <c r="BH51" s="361"/>
      <c r="BI51" s="361"/>
      <c r="BJ51" s="364"/>
      <c r="BK51" s="364"/>
      <c r="BL51" s="356"/>
      <c r="BM51" s="374"/>
      <c r="BN51" s="363"/>
      <c r="BO51" s="356"/>
      <c r="BP51" s="356"/>
      <c r="BQ51" s="364"/>
      <c r="BR51" s="362"/>
      <c r="BS51" s="359"/>
      <c r="BT51" s="359"/>
      <c r="BU51" s="359"/>
      <c r="BV51" s="359"/>
      <c r="BW51" s="357"/>
      <c r="BX51" s="359"/>
      <c r="BY51" s="361"/>
      <c r="BZ51" s="361"/>
      <c r="CA51" s="361"/>
      <c r="CB51" s="361"/>
      <c r="CC51" s="354"/>
      <c r="CD51" s="377"/>
      <c r="CE51" s="377"/>
      <c r="CF51" s="391"/>
      <c r="CG51" s="391"/>
      <c r="CH51" s="391"/>
      <c r="CI51" s="391"/>
      <c r="CJ51" s="377"/>
      <c r="CK51" s="377"/>
      <c r="CL51" s="354"/>
      <c r="CM51" s="360"/>
      <c r="CN51" s="361"/>
      <c r="CO51" s="361"/>
      <c r="CP51" s="362"/>
      <c r="CQ51" s="360"/>
      <c r="CR51" s="359"/>
      <c r="CS51" s="359"/>
      <c r="CT51" s="361"/>
      <c r="CU51" s="359"/>
      <c r="CV51" s="361"/>
      <c r="CW51" s="361"/>
      <c r="CX51" s="361"/>
      <c r="CY51" s="362"/>
      <c r="CZ51" s="361"/>
      <c r="DA51" s="361"/>
      <c r="DB51" s="361"/>
      <c r="DC51" s="359"/>
      <c r="DD51" s="361"/>
      <c r="DE51" s="361"/>
      <c r="DF51" s="359"/>
      <c r="DG51" s="358"/>
      <c r="DH51" s="361"/>
      <c r="DI51" s="355"/>
      <c r="DJ51" s="355"/>
      <c r="DK51" s="360"/>
      <c r="DL51" s="361"/>
      <c r="DM51" s="355"/>
      <c r="DN51" s="355"/>
      <c r="DO51" s="364"/>
      <c r="DP51" s="361"/>
      <c r="DQ51" s="362"/>
      <c r="DR51" s="362"/>
      <c r="DS51" s="358"/>
      <c r="DT51" s="361"/>
      <c r="DU51" s="359"/>
      <c r="DV51" s="359"/>
      <c r="DW51" s="362"/>
      <c r="DX51" s="361"/>
      <c r="DY51" s="359"/>
      <c r="DZ51" s="359"/>
      <c r="EA51" s="359"/>
      <c r="EB51" s="362"/>
      <c r="EC51" s="358"/>
      <c r="ED51" s="358"/>
      <c r="EE51" s="362"/>
      <c r="EF51" s="362"/>
      <c r="EG51" s="362"/>
      <c r="EH51" s="359"/>
      <c r="EI51" s="359"/>
      <c r="EJ51" s="362"/>
      <c r="EK51" s="362"/>
      <c r="EL51" s="362"/>
      <c r="EM51" s="362"/>
      <c r="EN51" s="362"/>
      <c r="EO51" s="362"/>
      <c r="EP51" s="362"/>
      <c r="EQ51" s="362"/>
      <c r="ER51" s="362"/>
      <c r="ES51" s="361"/>
      <c r="ET51" s="362"/>
      <c r="EU51" s="361"/>
      <c r="EV51" s="361"/>
      <c r="EW51" s="361"/>
      <c r="EX51" s="361"/>
      <c r="EY51" s="361"/>
      <c r="EZ51" s="361"/>
      <c r="FA51" s="361"/>
      <c r="FB51" s="362"/>
      <c r="FC51" s="361"/>
      <c r="FD51" s="361"/>
      <c r="FE51" s="362"/>
      <c r="FF51" s="361"/>
      <c r="FG51" s="362"/>
      <c r="FH51" s="359"/>
      <c r="FI51" s="359"/>
      <c r="FJ51" s="362"/>
      <c r="FK51" s="362"/>
      <c r="FL51" s="362"/>
      <c r="FM51" s="362"/>
      <c r="FN51" s="361"/>
      <c r="FO51" s="362"/>
      <c r="FP51" s="362"/>
      <c r="FQ51" s="361"/>
      <c r="FR51" s="362"/>
      <c r="FS51" s="362"/>
      <c r="FT51" s="362"/>
      <c r="FU51" s="362"/>
      <c r="FV51" s="362"/>
      <c r="FW51" s="362"/>
      <c r="FX51" s="362"/>
      <c r="FY51" s="362"/>
      <c r="FZ51" s="362"/>
      <c r="GA51" s="361"/>
      <c r="GB51" s="361"/>
      <c r="GC51" s="373"/>
      <c r="GD51" s="373"/>
      <c r="GE51" s="373"/>
      <c r="GF51" s="373"/>
      <c r="GG51" s="361"/>
      <c r="GH51" s="361"/>
      <c r="GI51" s="361"/>
      <c r="GJ51" s="361"/>
      <c r="GK51" s="361"/>
      <c r="GL51" s="361"/>
      <c r="GM51" s="361"/>
      <c r="GN51" s="361"/>
      <c r="GO51" s="361"/>
      <c r="GP51" s="361"/>
      <c r="GQ51" s="361"/>
      <c r="GR51" s="362"/>
    </row>
    <row r="52" spans="1:200" ht="13.5" customHeight="1" x14ac:dyDescent="0.2">
      <c r="A52" s="361"/>
      <c r="B52" s="362"/>
      <c r="C52" s="387"/>
      <c r="D52" s="387"/>
      <c r="E52" s="355"/>
      <c r="F52" s="356"/>
      <c r="G52" s="360"/>
      <c r="H52" s="355"/>
      <c r="I52" s="361"/>
      <c r="J52" s="358"/>
      <c r="K52" s="359"/>
      <c r="L52" s="359"/>
      <c r="M52" s="362"/>
      <c r="N52" s="362"/>
      <c r="O52" s="361"/>
      <c r="P52" s="361"/>
      <c r="Q52" s="361"/>
      <c r="R52" s="361"/>
      <c r="S52" s="361"/>
      <c r="T52" s="361"/>
      <c r="U52" s="361"/>
      <c r="V52" s="361"/>
      <c r="W52" s="361"/>
      <c r="X52" s="361"/>
      <c r="Y52" s="361"/>
      <c r="Z52" s="361"/>
      <c r="AA52" s="361"/>
      <c r="AB52" s="361"/>
      <c r="AC52" s="359"/>
      <c r="AD52" s="361"/>
      <c r="AE52" s="361"/>
      <c r="AF52" s="361"/>
      <c r="AG52" s="361"/>
      <c r="AH52" s="361"/>
      <c r="AI52" s="390"/>
      <c r="AJ52" s="355"/>
      <c r="AK52" s="380"/>
      <c r="AL52" s="380"/>
      <c r="AM52" s="354"/>
      <c r="AN52" s="354"/>
      <c r="AO52" s="354"/>
      <c r="AP52" s="354"/>
      <c r="AQ52" s="354"/>
      <c r="AR52" s="361"/>
      <c r="AS52" s="361"/>
      <c r="AT52" s="362"/>
      <c r="AU52" s="362"/>
      <c r="AV52" s="360"/>
      <c r="AW52" s="360"/>
      <c r="AX52" s="360"/>
      <c r="AY52" s="355"/>
      <c r="AZ52" s="361"/>
      <c r="BA52" s="361"/>
      <c r="BB52" s="361"/>
      <c r="BC52" s="361"/>
      <c r="BD52" s="361"/>
      <c r="BE52" s="361"/>
      <c r="BF52" s="361"/>
      <c r="BG52" s="361"/>
      <c r="BH52" s="361"/>
      <c r="BI52" s="355"/>
      <c r="BJ52" s="360"/>
      <c r="BK52" s="356"/>
      <c r="BL52" s="374"/>
      <c r="BM52" s="384"/>
      <c r="BN52" s="384"/>
      <c r="BO52" s="374"/>
      <c r="BP52" s="356"/>
      <c r="BQ52" s="356"/>
      <c r="BR52" s="364"/>
      <c r="BS52" s="359"/>
      <c r="BT52" s="359"/>
      <c r="BU52" s="359"/>
      <c r="BV52" s="359"/>
      <c r="BW52" s="359"/>
      <c r="BX52" s="359"/>
      <c r="BY52" s="361"/>
      <c r="BZ52" s="361"/>
      <c r="CA52" s="361"/>
      <c r="CB52" s="354"/>
      <c r="CC52" s="391"/>
      <c r="CD52" s="391"/>
      <c r="CE52" s="391"/>
      <c r="CF52" s="391"/>
      <c r="CG52" s="391"/>
      <c r="CH52" s="391"/>
      <c r="CI52" s="377"/>
      <c r="CJ52" s="377"/>
      <c r="CK52" s="377"/>
      <c r="CL52" s="377"/>
      <c r="CM52" s="354"/>
      <c r="CN52" s="364"/>
      <c r="CO52" s="360"/>
      <c r="CP52" s="361"/>
      <c r="CQ52" s="362"/>
      <c r="CR52" s="360"/>
      <c r="CS52" s="358"/>
      <c r="CT52" s="361"/>
      <c r="CU52" s="358"/>
      <c r="CV52" s="361"/>
      <c r="CW52" s="361"/>
      <c r="CX52" s="361"/>
      <c r="CY52" s="362"/>
      <c r="CZ52" s="361"/>
      <c r="DA52" s="361"/>
      <c r="DB52" s="361"/>
      <c r="DC52" s="362"/>
      <c r="DD52" s="362"/>
      <c r="DE52" s="361"/>
      <c r="DF52" s="359"/>
      <c r="DG52" s="358"/>
      <c r="DH52" s="361"/>
      <c r="DI52" s="361"/>
      <c r="DJ52" s="361"/>
      <c r="DK52" s="361"/>
      <c r="DL52" s="360"/>
      <c r="DM52" s="355"/>
      <c r="DN52" s="361"/>
      <c r="DO52" s="364"/>
      <c r="DP52" s="361"/>
      <c r="DQ52" s="364"/>
      <c r="DR52" s="355"/>
      <c r="DS52" s="361"/>
      <c r="DT52" s="361"/>
      <c r="DU52" s="361"/>
      <c r="DV52" s="359"/>
      <c r="DW52" s="362"/>
      <c r="DX52" s="361"/>
      <c r="DY52" s="359"/>
      <c r="DZ52" s="357"/>
      <c r="EA52" s="357"/>
      <c r="EB52" s="362"/>
      <c r="EC52" s="362"/>
      <c r="ED52" s="358"/>
      <c r="EE52" s="362"/>
      <c r="EF52" s="362"/>
      <c r="EG52" s="362"/>
      <c r="EH52" s="362"/>
      <c r="EI52" s="359"/>
      <c r="EJ52" s="362"/>
      <c r="EK52" s="362"/>
      <c r="EL52" s="362"/>
      <c r="EM52" s="362"/>
      <c r="EN52" s="362"/>
      <c r="EO52" s="362"/>
      <c r="EP52" s="362"/>
      <c r="EQ52" s="362"/>
      <c r="ER52" s="362"/>
      <c r="ES52" s="362"/>
      <c r="ET52" s="362"/>
      <c r="EU52" s="362"/>
      <c r="EV52" s="362"/>
      <c r="EW52" s="362"/>
      <c r="EX52" s="362"/>
      <c r="EY52" s="362"/>
      <c r="EZ52" s="362"/>
      <c r="FA52" s="359"/>
      <c r="FB52" s="359"/>
      <c r="FC52" s="362"/>
      <c r="FD52" s="361"/>
      <c r="FE52" s="361"/>
      <c r="FF52" s="362"/>
      <c r="FG52" s="361"/>
      <c r="FH52" s="361"/>
      <c r="FI52" s="359"/>
      <c r="FJ52" s="362"/>
      <c r="FK52" s="362"/>
      <c r="FL52" s="362"/>
      <c r="FM52" s="362"/>
      <c r="FN52" s="361"/>
      <c r="FO52" s="362"/>
      <c r="FP52" s="362"/>
      <c r="FQ52" s="362"/>
      <c r="FR52" s="362"/>
      <c r="FS52" s="362"/>
      <c r="FT52" s="362"/>
      <c r="FU52" s="362"/>
      <c r="FV52" s="361"/>
      <c r="FW52" s="362"/>
      <c r="FX52" s="362"/>
      <c r="FY52" s="362"/>
      <c r="FZ52" s="362"/>
      <c r="GA52" s="362"/>
      <c r="GB52" s="361"/>
      <c r="GC52" s="361"/>
      <c r="GD52" s="361"/>
      <c r="GE52" s="361"/>
      <c r="GF52" s="361"/>
      <c r="GG52" s="361"/>
      <c r="GH52" s="361"/>
      <c r="GI52" s="361"/>
      <c r="GJ52" s="361"/>
      <c r="GK52" s="361"/>
      <c r="GL52" s="361"/>
      <c r="GM52" s="361"/>
      <c r="GN52" s="361"/>
      <c r="GO52" s="361"/>
      <c r="GP52" s="361"/>
      <c r="GQ52" s="361"/>
      <c r="GR52" s="361"/>
    </row>
    <row r="53" spans="1:200" ht="13.5" customHeight="1" x14ac:dyDescent="0.2">
      <c r="A53" s="361"/>
      <c r="B53" s="361"/>
      <c r="C53" s="355"/>
      <c r="D53" s="355"/>
      <c r="E53" s="355"/>
      <c r="F53" s="387"/>
      <c r="G53" s="356"/>
      <c r="H53" s="360"/>
      <c r="I53" s="361"/>
      <c r="J53" s="361"/>
      <c r="K53" s="360"/>
      <c r="L53" s="357"/>
      <c r="M53" s="359"/>
      <c r="N53" s="361"/>
      <c r="O53" s="361"/>
      <c r="P53" s="361"/>
      <c r="Q53" s="361"/>
      <c r="R53" s="361"/>
      <c r="S53" s="362"/>
      <c r="T53" s="362"/>
      <c r="U53" s="362"/>
      <c r="V53" s="361"/>
      <c r="W53" s="361"/>
      <c r="X53" s="360"/>
      <c r="Y53" s="360"/>
      <c r="Z53" s="360"/>
      <c r="AA53" s="355"/>
      <c r="AB53" s="355"/>
      <c r="AC53" s="357"/>
      <c r="AD53" s="361"/>
      <c r="AE53" s="361"/>
      <c r="AF53" s="361"/>
      <c r="AG53" s="361"/>
      <c r="AH53" s="361"/>
      <c r="AI53" s="390"/>
      <c r="AJ53" s="390"/>
      <c r="AK53" s="381"/>
      <c r="AL53" s="380"/>
      <c r="AM53" s="354"/>
      <c r="AN53" s="354"/>
      <c r="AO53" s="354"/>
      <c r="AP53" s="354"/>
      <c r="AQ53" s="354"/>
      <c r="AR53" s="355"/>
      <c r="AS53" s="361"/>
      <c r="AT53" s="361"/>
      <c r="AU53" s="360"/>
      <c r="AV53" s="361"/>
      <c r="AW53" s="361"/>
      <c r="AX53" s="355"/>
      <c r="AY53" s="355"/>
      <c r="AZ53" s="361"/>
      <c r="BA53" s="361"/>
      <c r="BB53" s="361"/>
      <c r="BC53" s="362"/>
      <c r="BD53" s="361"/>
      <c r="BE53" s="361"/>
      <c r="BF53" s="361"/>
      <c r="BG53" s="361"/>
      <c r="BH53" s="357"/>
      <c r="BI53" s="360"/>
      <c r="BJ53" s="360"/>
      <c r="BK53" s="356"/>
      <c r="BL53" s="374"/>
      <c r="BM53" s="363"/>
      <c r="BN53" s="363"/>
      <c r="BO53" s="374"/>
      <c r="BP53" s="363"/>
      <c r="BQ53" s="360"/>
      <c r="BR53" s="360"/>
      <c r="BS53" s="360"/>
      <c r="BT53" s="358"/>
      <c r="BU53" s="359"/>
      <c r="BV53" s="357"/>
      <c r="BW53" s="357"/>
      <c r="BX53" s="361"/>
      <c r="BY53" s="361"/>
      <c r="BZ53" s="362"/>
      <c r="CA53" s="354"/>
      <c r="CB53" s="377"/>
      <c r="CC53" s="391"/>
      <c r="CD53" s="391"/>
      <c r="CE53" s="391"/>
      <c r="CF53" s="377"/>
      <c r="CG53" s="377"/>
      <c r="CH53" s="377"/>
      <c r="CI53" s="377"/>
      <c r="CJ53" s="377"/>
      <c r="CK53" s="377"/>
      <c r="CL53" s="377"/>
      <c r="CM53" s="377"/>
      <c r="CN53" s="354"/>
      <c r="CO53" s="364"/>
      <c r="CP53" s="361"/>
      <c r="CQ53" s="362"/>
      <c r="CR53" s="361"/>
      <c r="CS53" s="358"/>
      <c r="CT53" s="361"/>
      <c r="CU53" s="362"/>
      <c r="CV53" s="361"/>
      <c r="CW53" s="361"/>
      <c r="CX53" s="361"/>
      <c r="CY53" s="362"/>
      <c r="CZ53" s="361"/>
      <c r="DA53" s="361"/>
      <c r="DB53" s="361"/>
      <c r="DC53" s="362"/>
      <c r="DD53" s="362"/>
      <c r="DE53" s="361"/>
      <c r="DF53" s="358"/>
      <c r="DG53" s="358"/>
      <c r="DH53" s="358"/>
      <c r="DI53" s="361"/>
      <c r="DJ53" s="361"/>
      <c r="DK53" s="361"/>
      <c r="DL53" s="361"/>
      <c r="DM53" s="361"/>
      <c r="DN53" s="361"/>
      <c r="DO53" s="361"/>
      <c r="DP53" s="362"/>
      <c r="DQ53" s="364"/>
      <c r="DR53" s="360"/>
      <c r="DS53" s="360"/>
      <c r="DT53" s="361"/>
      <c r="DU53" s="361"/>
      <c r="DV53" s="359"/>
      <c r="DW53" s="362"/>
      <c r="DX53" s="361"/>
      <c r="DY53" s="359"/>
      <c r="DZ53" s="354"/>
      <c r="EA53" s="354"/>
      <c r="EB53" s="361"/>
      <c r="EC53" s="361"/>
      <c r="ED53" s="362"/>
      <c r="EE53" s="362"/>
      <c r="EF53" s="362"/>
      <c r="EG53" s="362"/>
      <c r="EH53" s="362"/>
      <c r="EI53" s="362"/>
      <c r="EJ53" s="362"/>
      <c r="EK53" s="362"/>
      <c r="EL53" s="362"/>
      <c r="EM53" s="362"/>
      <c r="EN53" s="362"/>
      <c r="EO53" s="362"/>
      <c r="EP53" s="362"/>
      <c r="EQ53" s="362"/>
      <c r="ER53" s="362"/>
      <c r="ES53" s="362"/>
      <c r="ET53" s="362"/>
      <c r="EU53" s="362"/>
      <c r="EV53" s="362"/>
      <c r="EW53" s="361"/>
      <c r="EX53" s="361"/>
      <c r="EY53" s="361"/>
      <c r="EZ53" s="361"/>
      <c r="FA53" s="362"/>
      <c r="FB53" s="359"/>
      <c r="FC53" s="359"/>
      <c r="FD53" s="358"/>
      <c r="FE53" s="362"/>
      <c r="FF53" s="362"/>
      <c r="FG53" s="362"/>
      <c r="FH53" s="361"/>
      <c r="FI53" s="361"/>
      <c r="FJ53" s="361"/>
      <c r="FK53" s="362"/>
      <c r="FL53" s="362"/>
      <c r="FM53" s="362"/>
      <c r="FN53" s="362"/>
      <c r="FO53" s="361"/>
      <c r="FP53" s="362"/>
      <c r="FQ53" s="362"/>
      <c r="FR53" s="362"/>
      <c r="FS53" s="361"/>
      <c r="FT53" s="355"/>
      <c r="FU53" s="361"/>
      <c r="FV53" s="362"/>
      <c r="FW53" s="361"/>
      <c r="FX53" s="361"/>
      <c r="FY53" s="361"/>
      <c r="FZ53" s="355"/>
      <c r="GA53" s="362"/>
      <c r="GB53" s="362"/>
      <c r="GC53" s="362"/>
      <c r="GD53" s="361"/>
      <c r="GE53" s="362"/>
      <c r="GF53" s="361"/>
      <c r="GG53" s="361"/>
      <c r="GH53" s="362"/>
      <c r="GI53" s="362"/>
      <c r="GJ53" s="362"/>
      <c r="GK53" s="362"/>
      <c r="GL53" s="362"/>
      <c r="GM53" s="362"/>
      <c r="GN53" s="362"/>
      <c r="GO53" s="361"/>
      <c r="GP53" s="361"/>
      <c r="GQ53" s="361"/>
      <c r="GR53" s="361"/>
    </row>
    <row r="54" spans="1:200" ht="13.5" customHeight="1" x14ac:dyDescent="0.2">
      <c r="A54" s="361"/>
      <c r="B54" s="361"/>
      <c r="C54" s="361"/>
      <c r="D54" s="387"/>
      <c r="E54" s="355"/>
      <c r="F54" s="355"/>
      <c r="G54" s="362"/>
      <c r="H54" s="361"/>
      <c r="I54" s="361"/>
      <c r="J54" s="355"/>
      <c r="K54" s="361"/>
      <c r="L54" s="361"/>
      <c r="M54" s="359"/>
      <c r="N54" s="357"/>
      <c r="O54" s="357"/>
      <c r="P54" s="359"/>
      <c r="Q54" s="361"/>
      <c r="R54" s="361"/>
      <c r="S54" s="361"/>
      <c r="T54" s="361"/>
      <c r="U54" s="362"/>
      <c r="V54" s="362"/>
      <c r="W54" s="362"/>
      <c r="X54" s="361"/>
      <c r="Y54" s="360"/>
      <c r="Z54" s="360"/>
      <c r="AA54" s="360"/>
      <c r="AB54" s="364"/>
      <c r="AC54" s="357"/>
      <c r="AD54" s="361"/>
      <c r="AE54" s="361"/>
      <c r="AF54" s="361"/>
      <c r="AG54" s="361"/>
      <c r="AH54" s="361"/>
      <c r="AI54" s="390"/>
      <c r="AJ54" s="357"/>
      <c r="AK54" s="357"/>
      <c r="AL54" s="357"/>
      <c r="AM54" s="357"/>
      <c r="AN54" s="357"/>
      <c r="AO54" s="354"/>
      <c r="AP54" s="357"/>
      <c r="AQ54" s="354"/>
      <c r="AR54" s="360"/>
      <c r="AS54" s="361"/>
      <c r="AT54" s="361"/>
      <c r="AU54" s="361"/>
      <c r="AV54" s="361"/>
      <c r="AW54" s="355"/>
      <c r="AX54" s="355"/>
      <c r="AY54" s="361"/>
      <c r="AZ54" s="361"/>
      <c r="BA54" s="361"/>
      <c r="BB54" s="364"/>
      <c r="BC54" s="361"/>
      <c r="BD54" s="361"/>
      <c r="BE54" s="361"/>
      <c r="BF54" s="361"/>
      <c r="BG54" s="359"/>
      <c r="BH54" s="364"/>
      <c r="BI54" s="360"/>
      <c r="BJ54" s="360"/>
      <c r="BK54" s="363"/>
      <c r="BL54" s="374"/>
      <c r="BM54" s="363"/>
      <c r="BN54" s="384"/>
      <c r="BO54" s="388"/>
      <c r="BP54" s="363"/>
      <c r="BQ54" s="360"/>
      <c r="BR54" s="360"/>
      <c r="BS54" s="358"/>
      <c r="BT54" s="359"/>
      <c r="BU54" s="359"/>
      <c r="BV54" s="359"/>
      <c r="BW54" s="361"/>
      <c r="BX54" s="361"/>
      <c r="BY54" s="361"/>
      <c r="BZ54" s="362"/>
      <c r="CA54" s="354"/>
      <c r="CB54" s="391"/>
      <c r="CC54" s="377"/>
      <c r="CD54" s="377"/>
      <c r="CE54" s="377"/>
      <c r="CF54" s="377"/>
      <c r="CG54" s="377"/>
      <c r="CH54" s="377"/>
      <c r="CI54" s="377"/>
      <c r="CJ54" s="377"/>
      <c r="CK54" s="377"/>
      <c r="CL54" s="377"/>
      <c r="CM54" s="377"/>
      <c r="CN54" s="377"/>
      <c r="CO54" s="354"/>
      <c r="CP54" s="360"/>
      <c r="CQ54" s="355"/>
      <c r="CR54" s="361"/>
      <c r="CS54" s="358"/>
      <c r="CT54" s="362"/>
      <c r="CU54" s="362"/>
      <c r="CV54" s="355"/>
      <c r="CW54" s="358"/>
      <c r="CX54" s="361"/>
      <c r="CY54" s="361"/>
      <c r="CZ54" s="362"/>
      <c r="DA54" s="361"/>
      <c r="DB54" s="361"/>
      <c r="DC54" s="361"/>
      <c r="DD54" s="358"/>
      <c r="DE54" s="361"/>
      <c r="DF54" s="358"/>
      <c r="DG54" s="362"/>
      <c r="DH54" s="361"/>
      <c r="DI54" s="361"/>
      <c r="DJ54" s="361"/>
      <c r="DK54" s="360"/>
      <c r="DL54" s="362"/>
      <c r="DM54" s="360"/>
      <c r="DN54" s="361"/>
      <c r="DO54" s="361"/>
      <c r="DP54" s="361"/>
      <c r="DQ54" s="364"/>
      <c r="DR54" s="361"/>
      <c r="DS54" s="360"/>
      <c r="DT54" s="361"/>
      <c r="DU54" s="361"/>
      <c r="DV54" s="359"/>
      <c r="DW54" s="362"/>
      <c r="DX54" s="358"/>
      <c r="DY54" s="357"/>
      <c r="DZ54" s="354"/>
      <c r="EA54" s="354"/>
      <c r="EB54" s="362"/>
      <c r="EC54" s="361"/>
      <c r="ED54" s="361"/>
      <c r="EE54" s="362"/>
      <c r="EF54" s="362"/>
      <c r="EG54" s="362"/>
      <c r="EH54" s="362"/>
      <c r="EI54" s="359"/>
      <c r="EJ54" s="359"/>
      <c r="EK54" s="359"/>
      <c r="EL54" s="362"/>
      <c r="EM54" s="362"/>
      <c r="EN54" s="362"/>
      <c r="EO54" s="362"/>
      <c r="EP54" s="362"/>
      <c r="EQ54" s="362"/>
      <c r="ER54" s="361"/>
      <c r="ES54" s="362"/>
      <c r="ET54" s="361"/>
      <c r="EU54" s="361"/>
      <c r="EV54" s="361"/>
      <c r="EW54" s="361"/>
      <c r="EX54" s="361"/>
      <c r="EY54" s="361"/>
      <c r="EZ54" s="361"/>
      <c r="FA54" s="361"/>
      <c r="FB54" s="361"/>
      <c r="FC54" s="359"/>
      <c r="FD54" s="359"/>
      <c r="FE54" s="358"/>
      <c r="FF54" s="362"/>
      <c r="FG54" s="362"/>
      <c r="FH54" s="362"/>
      <c r="FI54" s="361"/>
      <c r="FJ54" s="361"/>
      <c r="FK54" s="361"/>
      <c r="FL54" s="362"/>
      <c r="FM54" s="362"/>
      <c r="FN54" s="362"/>
      <c r="FO54" s="359"/>
      <c r="FP54" s="359"/>
      <c r="FQ54" s="362"/>
      <c r="FR54" s="362"/>
      <c r="FS54" s="362"/>
      <c r="FT54" s="361"/>
      <c r="FU54" s="361"/>
      <c r="FV54" s="362"/>
      <c r="FW54" s="362"/>
      <c r="FX54" s="362"/>
      <c r="FY54" s="361"/>
      <c r="FZ54" s="361"/>
      <c r="GA54" s="362"/>
      <c r="GB54" s="362"/>
      <c r="GC54" s="362"/>
      <c r="GD54" s="361"/>
      <c r="GE54" s="361"/>
      <c r="GF54" s="361"/>
      <c r="GG54" s="361"/>
      <c r="GH54" s="361"/>
      <c r="GI54" s="362"/>
      <c r="GJ54" s="362"/>
      <c r="GK54" s="362"/>
      <c r="GL54" s="362"/>
      <c r="GM54" s="361"/>
      <c r="GN54" s="362"/>
      <c r="GO54" s="362"/>
      <c r="GP54" s="361"/>
      <c r="GQ54" s="361"/>
      <c r="GR54" s="361"/>
    </row>
    <row r="55" spans="1:200" ht="13.5" customHeight="1" x14ac:dyDescent="0.2">
      <c r="A55" s="355"/>
      <c r="B55" s="356"/>
      <c r="C55" s="360"/>
      <c r="D55" s="364"/>
      <c r="E55" s="387"/>
      <c r="F55" s="361"/>
      <c r="G55" s="361"/>
      <c r="H55" s="362"/>
      <c r="I55" s="361"/>
      <c r="J55" s="355"/>
      <c r="K55" s="360"/>
      <c r="L55" s="361"/>
      <c r="M55" s="361"/>
      <c r="N55" s="357"/>
      <c r="O55" s="354"/>
      <c r="P55" s="357"/>
      <c r="Q55" s="359"/>
      <c r="R55" s="359"/>
      <c r="S55" s="361"/>
      <c r="T55" s="362"/>
      <c r="U55" s="362"/>
      <c r="V55" s="362"/>
      <c r="W55" s="361"/>
      <c r="X55" s="361"/>
      <c r="Y55" s="361"/>
      <c r="Z55" s="361"/>
      <c r="AA55" s="360"/>
      <c r="AB55" s="364"/>
      <c r="AC55" s="380"/>
      <c r="AD55" s="360"/>
      <c r="AE55" s="361"/>
      <c r="AF55" s="361"/>
      <c r="AG55" s="361"/>
      <c r="AH55" s="360"/>
      <c r="AI55" s="390"/>
      <c r="AJ55" s="357"/>
      <c r="AK55" s="357"/>
      <c r="AL55" s="357"/>
      <c r="AM55" s="357"/>
      <c r="AN55" s="357"/>
      <c r="AO55" s="354"/>
      <c r="AP55" s="357"/>
      <c r="AQ55" s="354"/>
      <c r="AR55" s="354"/>
      <c r="AS55" s="361"/>
      <c r="AT55" s="361"/>
      <c r="AU55" s="361"/>
      <c r="AV55" s="361"/>
      <c r="AW55" s="361"/>
      <c r="AX55" s="361"/>
      <c r="AY55" s="361"/>
      <c r="AZ55" s="361"/>
      <c r="BA55" s="364"/>
      <c r="BB55" s="364"/>
      <c r="BC55" s="361"/>
      <c r="BD55" s="361"/>
      <c r="BE55" s="392"/>
      <c r="BF55" s="392"/>
      <c r="BG55" s="392"/>
      <c r="BH55" s="360"/>
      <c r="BI55" s="360"/>
      <c r="BJ55" s="356"/>
      <c r="BK55" s="363"/>
      <c r="BL55" s="363"/>
      <c r="BM55" s="384"/>
      <c r="BN55" s="363"/>
      <c r="BO55" s="388"/>
      <c r="BP55" s="356"/>
      <c r="BQ55" s="360"/>
      <c r="BR55" s="364"/>
      <c r="BS55" s="361"/>
      <c r="BT55" s="359"/>
      <c r="BU55" s="358"/>
      <c r="BV55" s="392"/>
      <c r="BW55" s="361"/>
      <c r="BX55" s="361"/>
      <c r="BY55" s="362"/>
      <c r="BZ55" s="354"/>
      <c r="CA55" s="391"/>
      <c r="CB55" s="377"/>
      <c r="CC55" s="377"/>
      <c r="CD55" s="377"/>
      <c r="CE55" s="377"/>
      <c r="CF55" s="391"/>
      <c r="CG55" s="391"/>
      <c r="CH55" s="377"/>
      <c r="CI55" s="377"/>
      <c r="CJ55" s="377"/>
      <c r="CK55" s="377"/>
      <c r="CL55" s="377"/>
      <c r="CM55" s="377"/>
      <c r="CN55" s="377"/>
      <c r="CO55" s="354"/>
      <c r="CP55" s="390"/>
      <c r="CQ55" s="360"/>
      <c r="CR55" s="361"/>
      <c r="CS55" s="362"/>
      <c r="CT55" s="362"/>
      <c r="CU55" s="361"/>
      <c r="CV55" s="357"/>
      <c r="CW55" s="359"/>
      <c r="CX55" s="362"/>
      <c r="CY55" s="361"/>
      <c r="CZ55" s="362"/>
      <c r="DA55" s="361"/>
      <c r="DB55" s="361"/>
      <c r="DC55" s="361"/>
      <c r="DD55" s="358"/>
      <c r="DE55" s="360"/>
      <c r="DF55" s="359"/>
      <c r="DG55" s="355"/>
      <c r="DH55" s="361"/>
      <c r="DI55" s="361"/>
      <c r="DJ55" s="361"/>
      <c r="DK55" s="360"/>
      <c r="DL55" s="362"/>
      <c r="DM55" s="361"/>
      <c r="DN55" s="361"/>
      <c r="DO55" s="361"/>
      <c r="DP55" s="361"/>
      <c r="DQ55" s="364"/>
      <c r="DR55" s="361"/>
      <c r="DS55" s="362"/>
      <c r="DT55" s="362"/>
      <c r="DU55" s="361"/>
      <c r="DV55" s="362"/>
      <c r="DW55" s="362"/>
      <c r="DX55" s="359"/>
      <c r="DY55" s="357"/>
      <c r="DZ55" s="354"/>
      <c r="EA55" s="354"/>
      <c r="EB55" s="361"/>
      <c r="EC55" s="361"/>
      <c r="ED55" s="362"/>
      <c r="EE55" s="362"/>
      <c r="EF55" s="362"/>
      <c r="EG55" s="359"/>
      <c r="EH55" s="362"/>
      <c r="EI55" s="362"/>
      <c r="EJ55" s="362"/>
      <c r="EK55" s="362"/>
      <c r="EL55" s="362"/>
      <c r="EM55" s="362"/>
      <c r="EN55" s="362"/>
      <c r="EO55" s="362"/>
      <c r="EP55" s="362"/>
      <c r="EQ55" s="362"/>
      <c r="ER55" s="362"/>
      <c r="ES55" s="362"/>
      <c r="ET55" s="362"/>
      <c r="EU55" s="362"/>
      <c r="EV55" s="362"/>
      <c r="EW55" s="362"/>
      <c r="EX55" s="362"/>
      <c r="EY55" s="359"/>
      <c r="EZ55" s="359"/>
      <c r="FA55" s="359"/>
      <c r="FB55" s="362"/>
      <c r="FC55" s="362"/>
      <c r="FD55" s="359"/>
      <c r="FE55" s="359"/>
      <c r="FF55" s="359"/>
      <c r="FG55" s="362"/>
      <c r="FH55" s="362"/>
      <c r="FI55" s="362"/>
      <c r="FJ55" s="362"/>
      <c r="FK55" s="361"/>
      <c r="FL55" s="361"/>
      <c r="FM55" s="358"/>
      <c r="FN55" s="362"/>
      <c r="FO55" s="362"/>
      <c r="FP55" s="358"/>
      <c r="FQ55" s="359"/>
      <c r="FR55" s="362"/>
      <c r="FS55" s="362"/>
      <c r="FT55" s="361"/>
      <c r="FU55" s="361"/>
      <c r="FV55" s="361"/>
      <c r="FW55" s="361"/>
      <c r="FX55" s="362"/>
      <c r="FY55" s="362"/>
      <c r="FZ55" s="361"/>
      <c r="GA55" s="361"/>
      <c r="GB55" s="362"/>
      <c r="GC55" s="362"/>
      <c r="GD55" s="361"/>
      <c r="GE55" s="361"/>
      <c r="GF55" s="362"/>
      <c r="GG55" s="362"/>
      <c r="GH55" s="362"/>
      <c r="GI55" s="362"/>
      <c r="GJ55" s="362"/>
      <c r="GK55" s="361"/>
      <c r="GL55" s="355"/>
      <c r="GM55" s="362"/>
      <c r="GN55" s="361"/>
      <c r="GO55" s="361"/>
      <c r="GP55" s="361"/>
      <c r="GQ55" s="360"/>
      <c r="GR55" s="357"/>
    </row>
    <row r="56" spans="1:200" ht="13.5" customHeight="1" x14ac:dyDescent="0.2">
      <c r="A56" s="361"/>
      <c r="B56" s="355"/>
      <c r="C56" s="360"/>
      <c r="D56" s="360"/>
      <c r="E56" s="360"/>
      <c r="F56" s="355"/>
      <c r="G56" s="361"/>
      <c r="H56" s="361"/>
      <c r="I56" s="387"/>
      <c r="J56" s="361"/>
      <c r="K56" s="362"/>
      <c r="L56" s="361"/>
      <c r="M56" s="361"/>
      <c r="N56" s="361"/>
      <c r="O56" s="354"/>
      <c r="P56" s="357"/>
      <c r="Q56" s="359"/>
      <c r="R56" s="359"/>
      <c r="S56" s="359"/>
      <c r="T56" s="359"/>
      <c r="U56" s="362"/>
      <c r="V56" s="361"/>
      <c r="W56" s="361"/>
      <c r="X56" s="361"/>
      <c r="Y56" s="361"/>
      <c r="Z56" s="361"/>
      <c r="AA56" s="361"/>
      <c r="AB56" s="361"/>
      <c r="AC56" s="357"/>
      <c r="AD56" s="360"/>
      <c r="AE56" s="361"/>
      <c r="AF56" s="361"/>
      <c r="AG56" s="361"/>
      <c r="AH56" s="360"/>
      <c r="AI56" s="380"/>
      <c r="AJ56" s="357"/>
      <c r="AK56" s="380"/>
      <c r="AL56" s="357"/>
      <c r="AM56" s="357"/>
      <c r="AN56" s="357"/>
      <c r="AO56" s="357"/>
      <c r="AP56" s="354"/>
      <c r="AQ56" s="354"/>
      <c r="AR56" s="361"/>
      <c r="AS56" s="361"/>
      <c r="AT56" s="361"/>
      <c r="AU56" s="361"/>
      <c r="AV56" s="361"/>
      <c r="AW56" s="361"/>
      <c r="AX56" s="361"/>
      <c r="AY56" s="364"/>
      <c r="AZ56" s="364"/>
      <c r="BA56" s="360"/>
      <c r="BB56" s="361"/>
      <c r="BC56" s="361"/>
      <c r="BD56" s="392"/>
      <c r="BE56" s="392"/>
      <c r="BF56" s="392"/>
      <c r="BG56" s="358"/>
      <c r="BH56" s="359"/>
      <c r="BI56" s="364"/>
      <c r="BJ56" s="360"/>
      <c r="BK56" s="364"/>
      <c r="BL56" s="363"/>
      <c r="BM56" s="363"/>
      <c r="BN56" s="363"/>
      <c r="BO56" s="356"/>
      <c r="BP56" s="356"/>
      <c r="BQ56" s="360"/>
      <c r="BR56" s="357"/>
      <c r="BS56" s="361"/>
      <c r="BT56" s="392"/>
      <c r="BU56" s="358"/>
      <c r="BV56" s="392"/>
      <c r="BW56" s="392"/>
      <c r="BX56" s="361"/>
      <c r="BY56" s="362"/>
      <c r="BZ56" s="354"/>
      <c r="CA56" s="377"/>
      <c r="CB56" s="391"/>
      <c r="CC56" s="377"/>
      <c r="CD56" s="377"/>
      <c r="CE56" s="377"/>
      <c r="CF56" s="377"/>
      <c r="CG56" s="377"/>
      <c r="CH56" s="377"/>
      <c r="CI56" s="377"/>
      <c r="CJ56" s="377"/>
      <c r="CK56" s="377"/>
      <c r="CL56" s="377"/>
      <c r="CM56" s="377"/>
      <c r="CN56" s="391"/>
      <c r="CO56" s="377"/>
      <c r="CP56" s="354"/>
      <c r="CQ56" s="360"/>
      <c r="CR56" s="360"/>
      <c r="CS56" s="361"/>
      <c r="CT56" s="362"/>
      <c r="CU56" s="361"/>
      <c r="CV56" s="355"/>
      <c r="CW56" s="359"/>
      <c r="CX56" s="361"/>
      <c r="CY56" s="361"/>
      <c r="CZ56" s="362"/>
      <c r="DA56" s="361"/>
      <c r="DB56" s="361"/>
      <c r="DC56" s="362"/>
      <c r="DD56" s="358"/>
      <c r="DE56" s="361"/>
      <c r="DF56" s="358"/>
      <c r="DG56" s="358"/>
      <c r="DH56" s="361"/>
      <c r="DI56" s="364"/>
      <c r="DJ56" s="361"/>
      <c r="DK56" s="364"/>
      <c r="DL56" s="362"/>
      <c r="DM56" s="361"/>
      <c r="DN56" s="356"/>
      <c r="DO56" s="364"/>
      <c r="DP56" s="360"/>
      <c r="DQ56" s="355"/>
      <c r="DR56" s="361"/>
      <c r="DS56" s="362"/>
      <c r="DT56" s="364"/>
      <c r="DU56" s="361"/>
      <c r="DV56" s="362"/>
      <c r="DW56" s="362"/>
      <c r="DX56" s="359"/>
      <c r="DY56" s="359"/>
      <c r="DZ56" s="354"/>
      <c r="EA56" s="357"/>
      <c r="EB56" s="362"/>
      <c r="EC56" s="361"/>
      <c r="ED56" s="362"/>
      <c r="EE56" s="362"/>
      <c r="EF56" s="362"/>
      <c r="EG56" s="362"/>
      <c r="EH56" s="359"/>
      <c r="EI56" s="359"/>
      <c r="EJ56" s="359"/>
      <c r="EK56" s="359"/>
      <c r="EL56" s="362"/>
      <c r="EM56" s="362"/>
      <c r="EN56" s="362"/>
      <c r="EO56" s="362"/>
      <c r="EP56" s="362"/>
      <c r="EQ56" s="362"/>
      <c r="ER56" s="362"/>
      <c r="ES56" s="362"/>
      <c r="ET56" s="362"/>
      <c r="EU56" s="362"/>
      <c r="EV56" s="362"/>
      <c r="EW56" s="362"/>
      <c r="EX56" s="362"/>
      <c r="EY56" s="362"/>
      <c r="EZ56" s="355"/>
      <c r="FA56" s="355"/>
      <c r="FB56" s="359"/>
      <c r="FC56" s="358"/>
      <c r="FD56" s="362"/>
      <c r="FE56" s="358"/>
      <c r="FF56" s="359"/>
      <c r="FG56" s="362"/>
      <c r="FH56" s="362"/>
      <c r="FI56" s="362"/>
      <c r="FJ56" s="362"/>
      <c r="FK56" s="362"/>
      <c r="FL56" s="362"/>
      <c r="FM56" s="362"/>
      <c r="FN56" s="362"/>
      <c r="FO56" s="358"/>
      <c r="FP56" s="362"/>
      <c r="FQ56" s="362"/>
      <c r="FR56" s="362"/>
      <c r="FS56" s="362"/>
      <c r="FT56" s="362"/>
      <c r="FU56" s="361"/>
      <c r="FV56" s="361"/>
      <c r="FW56" s="361"/>
      <c r="FX56" s="361"/>
      <c r="FY56" s="362"/>
      <c r="FZ56" s="362"/>
      <c r="GA56" s="361"/>
      <c r="GB56" s="362"/>
      <c r="GC56" s="361"/>
      <c r="GD56" s="361"/>
      <c r="GE56" s="361"/>
      <c r="GF56" s="361"/>
      <c r="GG56" s="362"/>
      <c r="GH56" s="362"/>
      <c r="GI56" s="357"/>
      <c r="GJ56" s="362"/>
      <c r="GK56" s="362"/>
      <c r="GL56" s="361"/>
      <c r="GM56" s="361"/>
      <c r="GN56" s="361"/>
      <c r="GO56" s="362"/>
      <c r="GP56" s="358"/>
      <c r="GQ56" s="358"/>
      <c r="GR56" s="361"/>
    </row>
    <row r="57" spans="1:200" ht="13.5" customHeight="1" x14ac:dyDescent="0.2">
      <c r="A57" s="361"/>
      <c r="B57" s="362"/>
      <c r="C57" s="360"/>
      <c r="D57" s="356"/>
      <c r="E57" s="356"/>
      <c r="F57" s="360"/>
      <c r="G57" s="362"/>
      <c r="H57" s="355"/>
      <c r="I57" s="360"/>
      <c r="J57" s="355"/>
      <c r="K57" s="361"/>
      <c r="L57" s="361"/>
      <c r="M57" s="361"/>
      <c r="N57" s="361"/>
      <c r="O57" s="361"/>
      <c r="P57" s="361"/>
      <c r="Q57" s="360"/>
      <c r="R57" s="360"/>
      <c r="S57" s="361"/>
      <c r="T57" s="361"/>
      <c r="U57" s="361"/>
      <c r="V57" s="355"/>
      <c r="W57" s="355"/>
      <c r="X57" s="355"/>
      <c r="Y57" s="361"/>
      <c r="Z57" s="361"/>
      <c r="AA57" s="361"/>
      <c r="AB57" s="361"/>
      <c r="AC57" s="357"/>
      <c r="AD57" s="357"/>
      <c r="AE57" s="361"/>
      <c r="AF57" s="361"/>
      <c r="AG57" s="361"/>
      <c r="AH57" s="357"/>
      <c r="AI57" s="380"/>
      <c r="AJ57" s="380"/>
      <c r="AK57" s="381"/>
      <c r="AL57" s="357"/>
      <c r="AM57" s="357"/>
      <c r="AN57" s="357"/>
      <c r="AO57" s="357"/>
      <c r="AP57" s="354"/>
      <c r="AQ57" s="354"/>
      <c r="AR57" s="354"/>
      <c r="AS57" s="361"/>
      <c r="AT57" s="360"/>
      <c r="AU57" s="361"/>
      <c r="AV57" s="361"/>
      <c r="AW57" s="361"/>
      <c r="AX57" s="360"/>
      <c r="AY57" s="360"/>
      <c r="AZ57" s="360"/>
      <c r="BA57" s="361"/>
      <c r="BB57" s="392"/>
      <c r="BC57" s="361"/>
      <c r="BD57" s="392"/>
      <c r="BE57" s="392"/>
      <c r="BF57" s="392"/>
      <c r="BG57" s="359"/>
      <c r="BH57" s="355"/>
      <c r="BI57" s="359"/>
      <c r="BJ57" s="360"/>
      <c r="BK57" s="360"/>
      <c r="BL57" s="360"/>
      <c r="BM57" s="364"/>
      <c r="BN57" s="363"/>
      <c r="BO57" s="356"/>
      <c r="BP57" s="360"/>
      <c r="BQ57" s="360"/>
      <c r="BR57" s="392"/>
      <c r="BS57" s="392"/>
      <c r="BT57" s="392"/>
      <c r="BU57" s="359"/>
      <c r="BV57" s="392"/>
      <c r="BW57" s="392"/>
      <c r="BX57" s="361"/>
      <c r="BY57" s="362"/>
      <c r="BZ57" s="354"/>
      <c r="CA57" s="391"/>
      <c r="CB57" s="377"/>
      <c r="CC57" s="377"/>
      <c r="CD57" s="377"/>
      <c r="CE57" s="377"/>
      <c r="CF57" s="377"/>
      <c r="CG57" s="377"/>
      <c r="CH57" s="377"/>
      <c r="CI57" s="377"/>
      <c r="CJ57" s="377"/>
      <c r="CK57" s="377"/>
      <c r="CL57" s="377"/>
      <c r="CM57" s="377"/>
      <c r="CN57" s="377"/>
      <c r="CO57" s="377"/>
      <c r="CP57" s="354"/>
      <c r="CQ57" s="357"/>
      <c r="CR57" s="360"/>
      <c r="CS57" s="361"/>
      <c r="CT57" s="358"/>
      <c r="CU57" s="358"/>
      <c r="CV57" s="357"/>
      <c r="CW57" s="357"/>
      <c r="CX57" s="361"/>
      <c r="CY57" s="361"/>
      <c r="CZ57" s="361"/>
      <c r="DA57" s="361"/>
      <c r="DB57" s="362"/>
      <c r="DC57" s="362"/>
      <c r="DD57" s="361"/>
      <c r="DE57" s="361"/>
      <c r="DF57" s="359"/>
      <c r="DG57" s="361"/>
      <c r="DH57" s="361"/>
      <c r="DI57" s="355"/>
      <c r="DJ57" s="359"/>
      <c r="DK57" s="360"/>
      <c r="DL57" s="361"/>
      <c r="DM57" s="361"/>
      <c r="DN57" s="356"/>
      <c r="DO57" s="361"/>
      <c r="DP57" s="361"/>
      <c r="DQ57" s="355"/>
      <c r="DR57" s="360"/>
      <c r="DS57" s="361"/>
      <c r="DT57" s="361"/>
      <c r="DU57" s="361"/>
      <c r="DV57" s="362"/>
      <c r="DW57" s="359"/>
      <c r="DX57" s="359"/>
      <c r="DY57" s="355"/>
      <c r="DZ57" s="357"/>
      <c r="EA57" s="362"/>
      <c r="EB57" s="361"/>
      <c r="EC57" s="361"/>
      <c r="ED57" s="362"/>
      <c r="EE57" s="362"/>
      <c r="EF57" s="361"/>
      <c r="EG57" s="361"/>
      <c r="EH57" s="362"/>
      <c r="EI57" s="362"/>
      <c r="EJ57" s="362"/>
      <c r="EK57" s="362"/>
      <c r="EL57" s="361"/>
      <c r="EM57" s="361"/>
      <c r="EN57" s="361"/>
      <c r="EO57" s="362"/>
      <c r="EP57" s="361"/>
      <c r="EQ57" s="362"/>
      <c r="ER57" s="362"/>
      <c r="ES57" s="362"/>
      <c r="ET57" s="362"/>
      <c r="EU57" s="362"/>
      <c r="EV57" s="361"/>
      <c r="EW57" s="361"/>
      <c r="EX57" s="362"/>
      <c r="EY57" s="362"/>
      <c r="EZ57" s="362"/>
      <c r="FA57" s="359"/>
      <c r="FB57" s="355"/>
      <c r="FC57" s="359"/>
      <c r="FD57" s="362"/>
      <c r="FE57" s="362"/>
      <c r="FF57" s="358"/>
      <c r="FG57" s="362"/>
      <c r="FH57" s="361"/>
      <c r="FI57" s="362"/>
      <c r="FJ57" s="362"/>
      <c r="FK57" s="362"/>
      <c r="FL57" s="362"/>
      <c r="FM57" s="361"/>
      <c r="FN57" s="361"/>
      <c r="FO57" s="362"/>
      <c r="FP57" s="362"/>
      <c r="FQ57" s="361"/>
      <c r="FR57" s="361"/>
      <c r="FS57" s="362"/>
      <c r="FT57" s="362"/>
      <c r="FU57" s="362"/>
      <c r="FV57" s="362"/>
      <c r="FW57" s="362"/>
      <c r="FX57" s="361"/>
      <c r="FY57" s="362"/>
      <c r="FZ57" s="362"/>
      <c r="GA57" s="362"/>
      <c r="GB57" s="361"/>
      <c r="GC57" s="361"/>
      <c r="GD57" s="387"/>
      <c r="GE57" s="387"/>
      <c r="GF57" s="362"/>
      <c r="GG57" s="362"/>
      <c r="GH57" s="362"/>
      <c r="GI57" s="362"/>
      <c r="GJ57" s="361"/>
      <c r="GK57" s="361"/>
      <c r="GL57" s="361"/>
      <c r="GM57" s="361"/>
      <c r="GN57" s="361"/>
      <c r="GO57" s="361"/>
      <c r="GP57" s="361"/>
      <c r="GQ57" s="361"/>
      <c r="GR57" s="361"/>
    </row>
    <row r="58" spans="1:200" ht="13.5" customHeight="1" x14ac:dyDescent="0.2">
      <c r="A58" s="361"/>
      <c r="B58" s="362"/>
      <c r="C58" s="362"/>
      <c r="D58" s="356"/>
      <c r="E58" s="356"/>
      <c r="F58" s="356"/>
      <c r="G58" s="360"/>
      <c r="H58" s="358"/>
      <c r="I58" s="355"/>
      <c r="J58" s="360"/>
      <c r="K58" s="361"/>
      <c r="L58" s="361"/>
      <c r="M58" s="361"/>
      <c r="N58" s="361"/>
      <c r="O58" s="361"/>
      <c r="P58" s="361"/>
      <c r="Q58" s="361"/>
      <c r="R58" s="361"/>
      <c r="S58" s="361"/>
      <c r="T58" s="361"/>
      <c r="U58" s="361"/>
      <c r="V58" s="361"/>
      <c r="W58" s="361"/>
      <c r="X58" s="361"/>
      <c r="Y58" s="361"/>
      <c r="Z58" s="361"/>
      <c r="AA58" s="361"/>
      <c r="AB58" s="361"/>
      <c r="AC58" s="357"/>
      <c r="AD58" s="357"/>
      <c r="AE58" s="361"/>
      <c r="AF58" s="361"/>
      <c r="AG58" s="361"/>
      <c r="AH58" s="356"/>
      <c r="AI58" s="380"/>
      <c r="AJ58" s="380"/>
      <c r="AK58" s="381"/>
      <c r="AL58" s="357"/>
      <c r="AM58" s="357"/>
      <c r="AN58" s="357"/>
      <c r="AO58" s="357"/>
      <c r="AP58" s="354"/>
      <c r="AQ58" s="357"/>
      <c r="AR58" s="354"/>
      <c r="AS58" s="361"/>
      <c r="AT58" s="361"/>
      <c r="AU58" s="361"/>
      <c r="AV58" s="360"/>
      <c r="AW58" s="360"/>
      <c r="AX58" s="360"/>
      <c r="AY58" s="360"/>
      <c r="AZ58" s="361"/>
      <c r="BA58" s="361"/>
      <c r="BB58" s="361"/>
      <c r="BC58" s="354"/>
      <c r="BD58" s="354"/>
      <c r="BE58" s="392"/>
      <c r="BF58" s="392"/>
      <c r="BG58" s="359"/>
      <c r="BH58" s="359"/>
      <c r="BI58" s="359"/>
      <c r="BJ58" s="361"/>
      <c r="BK58" s="364"/>
      <c r="BL58" s="356"/>
      <c r="BM58" s="360"/>
      <c r="BN58" s="360"/>
      <c r="BO58" s="360"/>
      <c r="BP58" s="360"/>
      <c r="BQ58" s="360"/>
      <c r="BR58" s="392"/>
      <c r="BS58" s="392"/>
      <c r="BT58" s="359"/>
      <c r="BU58" s="392"/>
      <c r="BV58" s="392"/>
      <c r="BW58" s="361"/>
      <c r="BX58" s="392"/>
      <c r="BY58" s="354"/>
      <c r="BZ58" s="377"/>
      <c r="CA58" s="391"/>
      <c r="CB58" s="391"/>
      <c r="CC58" s="391"/>
      <c r="CD58" s="391"/>
      <c r="CE58" s="391"/>
      <c r="CF58" s="391"/>
      <c r="CG58" s="391"/>
      <c r="CH58" s="377"/>
      <c r="CI58" s="377"/>
      <c r="CJ58" s="377"/>
      <c r="CK58" s="377"/>
      <c r="CL58" s="377"/>
      <c r="CM58" s="377"/>
      <c r="CN58" s="377"/>
      <c r="CO58" s="377"/>
      <c r="CP58" s="354"/>
      <c r="CQ58" s="357"/>
      <c r="CR58" s="361"/>
      <c r="CS58" s="360"/>
      <c r="CT58" s="361"/>
      <c r="CU58" s="358"/>
      <c r="CV58" s="361"/>
      <c r="CW58" s="359"/>
      <c r="CX58" s="361"/>
      <c r="CY58" s="362"/>
      <c r="CZ58" s="362"/>
      <c r="DA58" s="362"/>
      <c r="DB58" s="362"/>
      <c r="DC58" s="361"/>
      <c r="DD58" s="360"/>
      <c r="DE58" s="360"/>
      <c r="DF58" s="360"/>
      <c r="DG58" s="361"/>
      <c r="DH58" s="364"/>
      <c r="DI58" s="360"/>
      <c r="DJ58" s="361"/>
      <c r="DK58" s="361"/>
      <c r="DL58" s="361"/>
      <c r="DM58" s="361"/>
      <c r="DN58" s="360"/>
      <c r="DO58" s="361"/>
      <c r="DP58" s="361"/>
      <c r="DQ58" s="364"/>
      <c r="DR58" s="360"/>
      <c r="DS58" s="361"/>
      <c r="DT58" s="361"/>
      <c r="DU58" s="359"/>
      <c r="DV58" s="359"/>
      <c r="DW58" s="362"/>
      <c r="DX58" s="362"/>
      <c r="DY58" s="359"/>
      <c r="DZ58" s="359"/>
      <c r="EA58" s="361"/>
      <c r="EB58" s="361"/>
      <c r="EC58" s="362"/>
      <c r="ED58" s="362"/>
      <c r="EE58" s="362"/>
      <c r="EF58" s="362"/>
      <c r="EG58" s="362"/>
      <c r="EH58" s="362"/>
      <c r="EI58" s="362"/>
      <c r="EJ58" s="362"/>
      <c r="EK58" s="362"/>
      <c r="EL58" s="362"/>
      <c r="EM58" s="362"/>
      <c r="EN58" s="362"/>
      <c r="EO58" s="362"/>
      <c r="EP58" s="362"/>
      <c r="EQ58" s="362"/>
      <c r="ER58" s="362"/>
      <c r="ES58" s="362"/>
      <c r="ET58" s="362"/>
      <c r="EU58" s="362"/>
      <c r="EV58" s="362"/>
      <c r="EW58" s="362"/>
      <c r="EX58" s="362"/>
      <c r="EY58" s="362"/>
      <c r="EZ58" s="362"/>
      <c r="FA58" s="362"/>
      <c r="FB58" s="359"/>
      <c r="FC58" s="362"/>
      <c r="FD58" s="361"/>
      <c r="FE58" s="362"/>
      <c r="FF58" s="362"/>
      <c r="FG58" s="362"/>
      <c r="FH58" s="362"/>
      <c r="FI58" s="361"/>
      <c r="FJ58" s="362"/>
      <c r="FK58" s="387"/>
      <c r="FL58" s="362"/>
      <c r="FM58" s="362"/>
      <c r="FN58" s="361"/>
      <c r="FO58" s="361"/>
      <c r="FP58" s="362"/>
      <c r="FQ58" s="362"/>
      <c r="FR58" s="362"/>
      <c r="FS58" s="361"/>
      <c r="FT58" s="361"/>
      <c r="FU58" s="361"/>
      <c r="FV58" s="362"/>
      <c r="FW58" s="362"/>
      <c r="FX58" s="361"/>
      <c r="FY58" s="362"/>
      <c r="FZ58" s="361"/>
      <c r="GA58" s="361"/>
      <c r="GB58" s="361"/>
      <c r="GC58" s="361"/>
      <c r="GD58" s="361"/>
      <c r="GE58" s="361"/>
      <c r="GF58" s="361"/>
      <c r="GG58" s="361"/>
      <c r="GH58" s="361"/>
      <c r="GI58" s="361"/>
      <c r="GJ58" s="361"/>
      <c r="GK58" s="361"/>
      <c r="GL58" s="361"/>
      <c r="GM58" s="361"/>
      <c r="GN58" s="361"/>
      <c r="GO58" s="361"/>
      <c r="GP58" s="361"/>
      <c r="GQ58" s="361"/>
      <c r="GR58" s="361"/>
    </row>
    <row r="59" spans="1:200" ht="13.5" customHeight="1" x14ac:dyDescent="0.2">
      <c r="A59" s="356"/>
      <c r="B59" s="355"/>
      <c r="C59" s="362"/>
      <c r="D59" s="355"/>
      <c r="E59" s="360"/>
      <c r="F59" s="356"/>
      <c r="G59" s="356"/>
      <c r="H59" s="364"/>
      <c r="I59" s="355"/>
      <c r="J59" s="360"/>
      <c r="K59" s="360"/>
      <c r="L59" s="362"/>
      <c r="M59" s="361"/>
      <c r="N59" s="361"/>
      <c r="O59" s="361"/>
      <c r="P59" s="361"/>
      <c r="Q59" s="361"/>
      <c r="R59" s="361"/>
      <c r="S59" s="361"/>
      <c r="T59" s="361"/>
      <c r="U59" s="361"/>
      <c r="V59" s="361"/>
      <c r="W59" s="361"/>
      <c r="X59" s="361"/>
      <c r="Y59" s="361"/>
      <c r="Z59" s="361"/>
      <c r="AA59" s="361"/>
      <c r="AB59" s="360"/>
      <c r="AC59" s="357"/>
      <c r="AD59" s="357"/>
      <c r="AE59" s="361"/>
      <c r="AF59" s="361"/>
      <c r="AG59" s="361"/>
      <c r="AH59" s="361"/>
      <c r="AI59" s="380"/>
      <c r="AJ59" s="380"/>
      <c r="AK59" s="381"/>
      <c r="AL59" s="354"/>
      <c r="AM59" s="357"/>
      <c r="AN59" s="390"/>
      <c r="AO59" s="357"/>
      <c r="AP59" s="354"/>
      <c r="AQ59" s="357"/>
      <c r="AR59" s="360"/>
      <c r="AS59" s="361"/>
      <c r="AT59" s="360"/>
      <c r="AU59" s="360"/>
      <c r="AV59" s="361"/>
      <c r="AW59" s="361"/>
      <c r="AX59" s="392"/>
      <c r="AY59" s="392"/>
      <c r="AZ59" s="361"/>
      <c r="BA59" s="361"/>
      <c r="BB59" s="354"/>
      <c r="BC59" s="354"/>
      <c r="BD59" s="392"/>
      <c r="BE59" s="392"/>
      <c r="BF59" s="359"/>
      <c r="BG59" s="359"/>
      <c r="BH59" s="361"/>
      <c r="BI59" s="361"/>
      <c r="BJ59" s="361"/>
      <c r="BK59" s="355"/>
      <c r="BL59" s="355"/>
      <c r="BM59" s="361"/>
      <c r="BN59" s="361"/>
      <c r="BO59" s="360"/>
      <c r="BP59" s="360"/>
      <c r="BQ59" s="359"/>
      <c r="BR59" s="392"/>
      <c r="BS59" s="359"/>
      <c r="BT59" s="392"/>
      <c r="BU59" s="392"/>
      <c r="BV59" s="392"/>
      <c r="BW59" s="392"/>
      <c r="BX59" s="361"/>
      <c r="BY59" s="354"/>
      <c r="BZ59" s="377"/>
      <c r="CA59" s="391"/>
      <c r="CB59" s="391"/>
      <c r="CC59" s="377"/>
      <c r="CD59" s="377"/>
      <c r="CE59" s="377"/>
      <c r="CF59" s="377"/>
      <c r="CG59" s="377"/>
      <c r="CH59" s="377"/>
      <c r="CI59" s="377"/>
      <c r="CJ59" s="377"/>
      <c r="CK59" s="377"/>
      <c r="CL59" s="377"/>
      <c r="CM59" s="377"/>
      <c r="CN59" s="377"/>
      <c r="CO59" s="377"/>
      <c r="CP59" s="377"/>
      <c r="CQ59" s="354"/>
      <c r="CR59" s="361"/>
      <c r="CS59" s="361"/>
      <c r="CT59" s="360"/>
      <c r="CU59" s="359"/>
      <c r="CV59" s="355"/>
      <c r="CW59" s="359"/>
      <c r="CX59" s="361"/>
      <c r="CY59" s="362"/>
      <c r="CZ59" s="362"/>
      <c r="DA59" s="362"/>
      <c r="DB59" s="362"/>
      <c r="DC59" s="361"/>
      <c r="DD59" s="360"/>
      <c r="DE59" s="359"/>
      <c r="DF59" s="360"/>
      <c r="DG59" s="361"/>
      <c r="DH59" s="360"/>
      <c r="DI59" s="361"/>
      <c r="DJ59" s="360"/>
      <c r="DK59" s="361"/>
      <c r="DL59" s="361"/>
      <c r="DM59" s="361"/>
      <c r="DN59" s="361"/>
      <c r="DO59" s="361"/>
      <c r="DP59" s="361"/>
      <c r="DQ59" s="354"/>
      <c r="DR59" s="354"/>
      <c r="DS59" s="357"/>
      <c r="DT59" s="360"/>
      <c r="DU59" s="359"/>
      <c r="DV59" s="361"/>
      <c r="DW59" s="362"/>
      <c r="DX59" s="358"/>
      <c r="DY59" s="359"/>
      <c r="DZ59" s="361"/>
      <c r="EA59" s="361"/>
      <c r="EB59" s="361"/>
      <c r="EC59" s="361"/>
      <c r="ED59" s="362"/>
      <c r="EE59" s="362"/>
      <c r="EF59" s="362"/>
      <c r="EG59" s="362"/>
      <c r="EH59" s="362"/>
      <c r="EI59" s="362"/>
      <c r="EJ59" s="362"/>
      <c r="EK59" s="362"/>
      <c r="EL59" s="362"/>
      <c r="EM59" s="362"/>
      <c r="EN59" s="362"/>
      <c r="EO59" s="362"/>
      <c r="EP59" s="362"/>
      <c r="EQ59" s="362"/>
      <c r="ER59" s="362"/>
      <c r="ES59" s="362"/>
      <c r="ET59" s="359"/>
      <c r="EU59" s="359"/>
      <c r="EV59" s="362"/>
      <c r="EW59" s="362"/>
      <c r="EX59" s="362"/>
      <c r="EY59" s="362"/>
      <c r="EZ59" s="362"/>
      <c r="FA59" s="362"/>
      <c r="FB59" s="362"/>
      <c r="FC59" s="359"/>
      <c r="FD59" s="362"/>
      <c r="FE59" s="362"/>
      <c r="FF59" s="362"/>
      <c r="FG59" s="362"/>
      <c r="FH59" s="362"/>
      <c r="FI59" s="361"/>
      <c r="FJ59" s="362"/>
      <c r="FK59" s="362"/>
      <c r="FL59" s="361"/>
      <c r="FM59" s="362"/>
      <c r="FN59" s="362"/>
      <c r="FO59" s="362"/>
      <c r="FP59" s="361"/>
      <c r="FQ59" s="361"/>
      <c r="FR59" s="361"/>
      <c r="FS59" s="362"/>
      <c r="FT59" s="362"/>
      <c r="FU59" s="362"/>
      <c r="FV59" s="362"/>
      <c r="FW59" s="361"/>
      <c r="FX59" s="361"/>
      <c r="FY59" s="362"/>
      <c r="FZ59" s="362"/>
      <c r="GA59" s="361"/>
      <c r="GB59" s="362"/>
      <c r="GC59" s="361"/>
      <c r="GD59" s="361"/>
      <c r="GE59" s="361"/>
      <c r="GF59" s="361"/>
      <c r="GG59" s="362"/>
      <c r="GH59" s="362"/>
      <c r="GI59" s="359"/>
      <c r="GJ59" s="359"/>
      <c r="GK59" s="362"/>
      <c r="GL59" s="361"/>
      <c r="GM59" s="362"/>
      <c r="GN59" s="362"/>
      <c r="GO59" s="362"/>
      <c r="GP59" s="362"/>
      <c r="GQ59" s="362"/>
      <c r="GR59" s="362"/>
    </row>
    <row r="60" spans="1:200" ht="13.5" customHeight="1" x14ac:dyDescent="0.2">
      <c r="A60" s="355"/>
      <c r="B60" s="356"/>
      <c r="C60" s="356"/>
      <c r="D60" s="356"/>
      <c r="E60" s="356"/>
      <c r="F60" s="361"/>
      <c r="G60" s="361"/>
      <c r="H60" s="361"/>
      <c r="I60" s="361"/>
      <c r="J60" s="360"/>
      <c r="K60" s="360"/>
      <c r="L60" s="364"/>
      <c r="M60" s="355"/>
      <c r="N60" s="361"/>
      <c r="O60" s="360"/>
      <c r="P60" s="360"/>
      <c r="Q60" s="361"/>
      <c r="R60" s="361"/>
      <c r="S60" s="361"/>
      <c r="T60" s="361"/>
      <c r="U60" s="361"/>
      <c r="V60" s="361"/>
      <c r="W60" s="360"/>
      <c r="X60" s="360"/>
      <c r="Y60" s="361"/>
      <c r="Z60" s="361"/>
      <c r="AA60" s="361"/>
      <c r="AB60" s="356"/>
      <c r="AC60" s="354"/>
      <c r="AD60" s="357"/>
      <c r="AE60" s="360"/>
      <c r="AF60" s="361"/>
      <c r="AG60" s="361"/>
      <c r="AH60" s="361"/>
      <c r="AI60" s="380"/>
      <c r="AJ60" s="357"/>
      <c r="AK60" s="380"/>
      <c r="AL60" s="354"/>
      <c r="AM60" s="357"/>
      <c r="AN60" s="357"/>
      <c r="AO60" s="357"/>
      <c r="AP60" s="354"/>
      <c r="AQ60" s="380"/>
      <c r="AR60" s="357"/>
      <c r="AS60" s="360"/>
      <c r="AT60" s="361"/>
      <c r="AU60" s="361"/>
      <c r="AV60" s="392"/>
      <c r="AW60" s="392"/>
      <c r="AX60" s="392"/>
      <c r="AY60" s="392"/>
      <c r="AZ60" s="361"/>
      <c r="BA60" s="359"/>
      <c r="BB60" s="359"/>
      <c r="BC60" s="358"/>
      <c r="BD60" s="392"/>
      <c r="BE60" s="392"/>
      <c r="BF60" s="392"/>
      <c r="BG60" s="392"/>
      <c r="BH60" s="361"/>
      <c r="BI60" s="359"/>
      <c r="BJ60" s="361"/>
      <c r="BK60" s="361"/>
      <c r="BL60" s="361"/>
      <c r="BM60" s="361"/>
      <c r="BN60" s="361"/>
      <c r="BO60" s="359"/>
      <c r="BP60" s="359"/>
      <c r="BQ60" s="392"/>
      <c r="BR60" s="359"/>
      <c r="BS60" s="359"/>
      <c r="BT60" s="392"/>
      <c r="BU60" s="392"/>
      <c r="BV60" s="392"/>
      <c r="BW60" s="361"/>
      <c r="BX60" s="361"/>
      <c r="BY60" s="361"/>
      <c r="BZ60" s="354"/>
      <c r="CA60" s="391"/>
      <c r="CB60" s="377"/>
      <c r="CC60" s="377"/>
      <c r="CD60" s="377"/>
      <c r="CE60" s="377"/>
      <c r="CF60" s="377"/>
      <c r="CG60" s="377"/>
      <c r="CH60" s="377"/>
      <c r="CI60" s="377"/>
      <c r="CJ60" s="377"/>
      <c r="CK60" s="377"/>
      <c r="CL60" s="377"/>
      <c r="CM60" s="377"/>
      <c r="CN60" s="377"/>
      <c r="CO60" s="377"/>
      <c r="CP60" s="377"/>
      <c r="CQ60" s="354"/>
      <c r="CR60" s="358"/>
      <c r="CS60" s="361"/>
      <c r="CT60" s="361"/>
      <c r="CU60" s="359"/>
      <c r="CV60" s="355"/>
      <c r="CW60" s="359"/>
      <c r="CX60" s="359"/>
      <c r="CY60" s="362"/>
      <c r="CZ60" s="361"/>
      <c r="DA60" s="361"/>
      <c r="DB60" s="361"/>
      <c r="DC60" s="360"/>
      <c r="DD60" s="359"/>
      <c r="DE60" s="362"/>
      <c r="DF60" s="361"/>
      <c r="DG60" s="362"/>
      <c r="DH60" s="361"/>
      <c r="DI60" s="361"/>
      <c r="DJ60" s="361"/>
      <c r="DK60" s="361"/>
      <c r="DL60" s="361"/>
      <c r="DM60" s="361"/>
      <c r="DN60" s="360"/>
      <c r="DO60" s="357"/>
      <c r="DP60" s="354"/>
      <c r="DQ60" s="377"/>
      <c r="DR60" s="377"/>
      <c r="DS60" s="354"/>
      <c r="DT60" s="357"/>
      <c r="DU60" s="359"/>
      <c r="DV60" s="361"/>
      <c r="DW60" s="359"/>
      <c r="DX60" s="359"/>
      <c r="DY60" s="361"/>
      <c r="DZ60" s="361"/>
      <c r="EA60" s="361"/>
      <c r="EB60" s="361"/>
      <c r="EC60" s="362"/>
      <c r="ED60" s="362"/>
      <c r="EE60" s="358"/>
      <c r="EF60" s="355"/>
      <c r="EG60" s="355"/>
      <c r="EH60" s="355"/>
      <c r="EI60" s="355"/>
      <c r="EJ60" s="355"/>
      <c r="EK60" s="356"/>
      <c r="EL60" s="356"/>
      <c r="EM60" s="356"/>
      <c r="EN60" s="355"/>
      <c r="EO60" s="359"/>
      <c r="EP60" s="362"/>
      <c r="EQ60" s="362"/>
      <c r="ER60" s="362"/>
      <c r="ES60" s="362"/>
      <c r="ET60" s="362"/>
      <c r="EU60" s="359"/>
      <c r="EV60" s="358"/>
      <c r="EW60" s="362"/>
      <c r="EX60" s="359"/>
      <c r="EY60" s="359"/>
      <c r="EZ60" s="362"/>
      <c r="FA60" s="362"/>
      <c r="FB60" s="362"/>
      <c r="FC60" s="355"/>
      <c r="FD60" s="358"/>
      <c r="FE60" s="362"/>
      <c r="FF60" s="362"/>
      <c r="FG60" s="362"/>
      <c r="FH60" s="362"/>
      <c r="FI60" s="361"/>
      <c r="FJ60" s="361"/>
      <c r="FK60" s="362"/>
      <c r="FL60" s="361"/>
      <c r="FM60" s="361"/>
      <c r="FN60" s="362"/>
      <c r="FO60" s="362"/>
      <c r="FP60" s="362"/>
      <c r="FQ60" s="362"/>
      <c r="FR60" s="361"/>
      <c r="FS60" s="361"/>
      <c r="FT60" s="362"/>
      <c r="FU60" s="362"/>
      <c r="FV60" s="362"/>
      <c r="FW60" s="362"/>
      <c r="FX60" s="362"/>
      <c r="FY60" s="362"/>
      <c r="FZ60" s="362"/>
      <c r="GA60" s="362"/>
      <c r="GB60" s="362"/>
      <c r="GC60" s="362"/>
      <c r="GD60" s="362"/>
      <c r="GE60" s="361"/>
      <c r="GF60" s="361"/>
      <c r="GG60" s="362"/>
      <c r="GH60" s="362"/>
      <c r="GI60" s="359"/>
      <c r="GJ60" s="358"/>
      <c r="GK60" s="355"/>
      <c r="GL60" s="357"/>
      <c r="GM60" s="357"/>
      <c r="GN60" s="359"/>
      <c r="GO60" s="359"/>
      <c r="GP60" s="362"/>
      <c r="GQ60" s="362"/>
      <c r="GR60" s="362"/>
    </row>
    <row r="61" spans="1:200" ht="13.5" customHeight="1" x14ac:dyDescent="0.2">
      <c r="A61" s="355"/>
      <c r="B61" s="361"/>
      <c r="C61" s="356"/>
      <c r="D61" s="364"/>
      <c r="E61" s="356"/>
      <c r="F61" s="356"/>
      <c r="G61" s="360"/>
      <c r="H61" s="364"/>
      <c r="I61" s="361"/>
      <c r="J61" s="361"/>
      <c r="K61" s="361"/>
      <c r="L61" s="361"/>
      <c r="M61" s="361"/>
      <c r="N61" s="360"/>
      <c r="O61" s="356"/>
      <c r="P61" s="356"/>
      <c r="Q61" s="361"/>
      <c r="R61" s="361"/>
      <c r="S61" s="361"/>
      <c r="T61" s="361"/>
      <c r="U61" s="361"/>
      <c r="V61" s="361"/>
      <c r="W61" s="360"/>
      <c r="X61" s="360"/>
      <c r="Y61" s="361"/>
      <c r="Z61" s="360"/>
      <c r="AA61" s="360"/>
      <c r="AB61" s="364"/>
      <c r="AC61" s="354"/>
      <c r="AD61" s="354"/>
      <c r="AE61" s="356"/>
      <c r="AF61" s="361"/>
      <c r="AG61" s="361"/>
      <c r="AH61" s="360"/>
      <c r="AI61" s="380"/>
      <c r="AJ61" s="357"/>
      <c r="AK61" s="380"/>
      <c r="AL61" s="354"/>
      <c r="AM61" s="357"/>
      <c r="AN61" s="357"/>
      <c r="AO61" s="357"/>
      <c r="AP61" s="354"/>
      <c r="AQ61" s="380"/>
      <c r="AR61" s="357"/>
      <c r="AS61" s="361"/>
      <c r="AT61" s="361"/>
      <c r="AU61" s="362"/>
      <c r="AV61" s="392"/>
      <c r="AW61" s="359"/>
      <c r="AX61" s="359"/>
      <c r="AY61" s="359"/>
      <c r="AZ61" s="392"/>
      <c r="BA61" s="358"/>
      <c r="BB61" s="359"/>
      <c r="BC61" s="392"/>
      <c r="BD61" s="354"/>
      <c r="BE61" s="354"/>
      <c r="BF61" s="392"/>
      <c r="BG61" s="392"/>
      <c r="BH61" s="392"/>
      <c r="BI61" s="359"/>
      <c r="BJ61" s="392"/>
      <c r="BK61" s="361"/>
      <c r="BL61" s="361"/>
      <c r="BM61" s="359"/>
      <c r="BN61" s="359"/>
      <c r="BO61" s="359"/>
      <c r="BP61" s="392"/>
      <c r="BQ61" s="359"/>
      <c r="BR61" s="359"/>
      <c r="BS61" s="358"/>
      <c r="BT61" s="392"/>
      <c r="BU61" s="361"/>
      <c r="BV61" s="361"/>
      <c r="BW61" s="361"/>
      <c r="BX61" s="392"/>
      <c r="BY61" s="361"/>
      <c r="BZ61" s="354"/>
      <c r="CA61" s="391"/>
      <c r="CB61" s="377"/>
      <c r="CC61" s="377"/>
      <c r="CD61" s="377"/>
      <c r="CE61" s="377"/>
      <c r="CF61" s="377"/>
      <c r="CG61" s="377"/>
      <c r="CH61" s="377"/>
      <c r="CI61" s="377"/>
      <c r="CJ61" s="377"/>
      <c r="CK61" s="377"/>
      <c r="CL61" s="377"/>
      <c r="CM61" s="377"/>
      <c r="CN61" s="377"/>
      <c r="CO61" s="391"/>
      <c r="CP61" s="377"/>
      <c r="CQ61" s="354"/>
      <c r="CR61" s="359"/>
      <c r="CS61" s="359"/>
      <c r="CT61" s="361"/>
      <c r="CU61" s="361"/>
      <c r="CV61" s="358"/>
      <c r="CW61" s="355"/>
      <c r="CX61" s="359"/>
      <c r="CY61" s="359"/>
      <c r="CZ61" s="362"/>
      <c r="DA61" s="364"/>
      <c r="DB61" s="361"/>
      <c r="DC61" s="358"/>
      <c r="DD61" s="358"/>
      <c r="DE61" s="362"/>
      <c r="DF61" s="362"/>
      <c r="DG61" s="362"/>
      <c r="DH61" s="361"/>
      <c r="DI61" s="361"/>
      <c r="DJ61" s="361"/>
      <c r="DK61" s="361"/>
      <c r="DL61" s="360"/>
      <c r="DM61" s="361"/>
      <c r="DN61" s="360"/>
      <c r="DO61" s="357"/>
      <c r="DP61" s="377"/>
      <c r="DQ61" s="377"/>
      <c r="DR61" s="391"/>
      <c r="DS61" s="391"/>
      <c r="DT61" s="354"/>
      <c r="DU61" s="354"/>
      <c r="DV61" s="362"/>
      <c r="DW61" s="359"/>
      <c r="DX61" s="361"/>
      <c r="DY61" s="361"/>
      <c r="DZ61" s="362"/>
      <c r="EA61" s="362"/>
      <c r="EB61" s="362"/>
      <c r="EC61" s="362"/>
      <c r="ED61" s="362"/>
      <c r="EE61" s="362"/>
      <c r="EF61" s="355"/>
      <c r="EG61" s="356"/>
      <c r="EH61" s="356"/>
      <c r="EI61" s="356"/>
      <c r="EJ61" s="356"/>
      <c r="EK61" s="356"/>
      <c r="EL61" s="358"/>
      <c r="EM61" s="358"/>
      <c r="EN61" s="355"/>
      <c r="EO61" s="356"/>
      <c r="EP61" s="359"/>
      <c r="EQ61" s="359"/>
      <c r="ER61" s="361"/>
      <c r="ES61" s="362"/>
      <c r="ET61" s="362"/>
      <c r="EU61" s="362"/>
      <c r="EV61" s="362"/>
      <c r="EW61" s="362"/>
      <c r="EX61" s="362"/>
      <c r="EY61" s="362"/>
      <c r="EZ61" s="362"/>
      <c r="FA61" s="362"/>
      <c r="FB61" s="362"/>
      <c r="FC61" s="362"/>
      <c r="FD61" s="355"/>
      <c r="FE61" s="362"/>
      <c r="FF61" s="362"/>
      <c r="FG61" s="362"/>
      <c r="FH61" s="362"/>
      <c r="FI61" s="362"/>
      <c r="FJ61" s="361"/>
      <c r="FK61" s="362"/>
      <c r="FL61" s="362"/>
      <c r="FM61" s="361"/>
      <c r="FN61" s="361"/>
      <c r="FO61" s="362"/>
      <c r="FP61" s="362"/>
      <c r="FQ61" s="362"/>
      <c r="FR61" s="362"/>
      <c r="FS61" s="362"/>
      <c r="FT61" s="362"/>
      <c r="FU61" s="387"/>
      <c r="FV61" s="361"/>
      <c r="FW61" s="361"/>
      <c r="FX61" s="361"/>
      <c r="FY61" s="361"/>
      <c r="FZ61" s="361"/>
      <c r="GA61" s="361"/>
      <c r="GB61" s="361"/>
      <c r="GC61" s="361"/>
      <c r="GD61" s="361"/>
      <c r="GE61" s="361"/>
      <c r="GF61" s="362"/>
      <c r="GG61" s="362"/>
      <c r="GH61" s="359"/>
      <c r="GI61" s="359"/>
      <c r="GJ61" s="359"/>
      <c r="GK61" s="357"/>
      <c r="GL61" s="357"/>
      <c r="GM61" s="357"/>
      <c r="GN61" s="355"/>
      <c r="GO61" s="362"/>
      <c r="GP61" s="362"/>
      <c r="GQ61" s="362"/>
      <c r="GR61" s="355"/>
    </row>
    <row r="62" spans="1:200" ht="13.5" customHeight="1" x14ac:dyDescent="0.2">
      <c r="A62" s="355"/>
      <c r="B62" s="355"/>
      <c r="C62" s="361"/>
      <c r="D62" s="355"/>
      <c r="E62" s="364"/>
      <c r="F62" s="364"/>
      <c r="G62" s="360"/>
      <c r="H62" s="356"/>
      <c r="I62" s="360"/>
      <c r="J62" s="355"/>
      <c r="K62" s="360"/>
      <c r="L62" s="356"/>
      <c r="M62" s="361"/>
      <c r="N62" s="361"/>
      <c r="O62" s="361"/>
      <c r="P62" s="361"/>
      <c r="Q62" s="361"/>
      <c r="R62" s="361"/>
      <c r="S62" s="361"/>
      <c r="T62" s="360"/>
      <c r="U62" s="360"/>
      <c r="V62" s="360"/>
      <c r="W62" s="361"/>
      <c r="X62" s="361"/>
      <c r="Y62" s="361"/>
      <c r="Z62" s="361"/>
      <c r="AA62" s="361"/>
      <c r="AB62" s="360"/>
      <c r="AC62" s="357"/>
      <c r="AD62" s="357"/>
      <c r="AE62" s="357"/>
      <c r="AF62" s="361"/>
      <c r="AG62" s="361"/>
      <c r="AH62" s="356"/>
      <c r="AI62" s="357"/>
      <c r="AJ62" s="357"/>
      <c r="AK62" s="380"/>
      <c r="AL62" s="354"/>
      <c r="AM62" s="357"/>
      <c r="AN62" s="357"/>
      <c r="AO62" s="357"/>
      <c r="AP62" s="354"/>
      <c r="AQ62" s="380"/>
      <c r="AR62" s="355"/>
      <c r="AS62" s="362"/>
      <c r="AT62" s="362"/>
      <c r="AU62" s="362"/>
      <c r="AV62" s="359"/>
      <c r="AW62" s="359"/>
      <c r="AX62" s="392"/>
      <c r="AY62" s="392"/>
      <c r="AZ62" s="392"/>
      <c r="BA62" s="392"/>
      <c r="BB62" s="359"/>
      <c r="BC62" s="354"/>
      <c r="BD62" s="354"/>
      <c r="BE62" s="354"/>
      <c r="BF62" s="359"/>
      <c r="BG62" s="392"/>
      <c r="BH62" s="392"/>
      <c r="BI62" s="392"/>
      <c r="BJ62" s="392"/>
      <c r="BK62" s="361"/>
      <c r="BL62" s="359"/>
      <c r="BM62" s="359"/>
      <c r="BN62" s="359"/>
      <c r="BO62" s="359"/>
      <c r="BP62" s="358"/>
      <c r="BQ62" s="359"/>
      <c r="BR62" s="359"/>
      <c r="BS62" s="359"/>
      <c r="BT62" s="392"/>
      <c r="BU62" s="392"/>
      <c r="BV62" s="361"/>
      <c r="BW62" s="361"/>
      <c r="BX62" s="392"/>
      <c r="BY62" s="361"/>
      <c r="BZ62" s="354"/>
      <c r="CA62" s="377"/>
      <c r="CB62" s="391"/>
      <c r="CC62" s="377"/>
      <c r="CD62" s="377"/>
      <c r="CE62" s="377"/>
      <c r="CF62" s="377"/>
      <c r="CG62" s="377"/>
      <c r="CH62" s="377"/>
      <c r="CI62" s="391"/>
      <c r="CJ62" s="377"/>
      <c r="CK62" s="377"/>
      <c r="CL62" s="377"/>
      <c r="CM62" s="377"/>
      <c r="CN62" s="377"/>
      <c r="CO62" s="377"/>
      <c r="CP62" s="377"/>
      <c r="CQ62" s="354"/>
      <c r="CR62" s="355"/>
      <c r="CS62" s="359"/>
      <c r="CT62" s="359"/>
      <c r="CU62" s="361"/>
      <c r="CV62" s="362"/>
      <c r="CW62" s="362"/>
      <c r="CX62" s="362"/>
      <c r="CY62" s="358"/>
      <c r="CZ62" s="359"/>
      <c r="DA62" s="359"/>
      <c r="DB62" s="360"/>
      <c r="DC62" s="356"/>
      <c r="DD62" s="362"/>
      <c r="DE62" s="355"/>
      <c r="DF62" s="362"/>
      <c r="DG62" s="361"/>
      <c r="DH62" s="361"/>
      <c r="DI62" s="361"/>
      <c r="DJ62" s="361"/>
      <c r="DK62" s="361"/>
      <c r="DL62" s="361"/>
      <c r="DM62" s="360"/>
      <c r="DN62" s="354"/>
      <c r="DO62" s="354"/>
      <c r="DP62" s="377"/>
      <c r="DQ62" s="377"/>
      <c r="DR62" s="377"/>
      <c r="DS62" s="391"/>
      <c r="DT62" s="377"/>
      <c r="DU62" s="354"/>
      <c r="DV62" s="358"/>
      <c r="DW62" s="361"/>
      <c r="DX62" s="361"/>
      <c r="DY62" s="361"/>
      <c r="DZ62" s="355"/>
      <c r="EA62" s="355"/>
      <c r="EB62" s="355"/>
      <c r="EC62" s="361"/>
      <c r="ED62" s="361"/>
      <c r="EE62" s="361"/>
      <c r="EF62" s="355"/>
      <c r="EG62" s="360"/>
      <c r="EH62" s="356"/>
      <c r="EI62" s="356"/>
      <c r="EJ62" s="356"/>
      <c r="EK62" s="360"/>
      <c r="EL62" s="356"/>
      <c r="EM62" s="359"/>
      <c r="EN62" s="359"/>
      <c r="EO62" s="358"/>
      <c r="EP62" s="358"/>
      <c r="EQ62" s="356"/>
      <c r="ER62" s="355"/>
      <c r="ES62" s="361"/>
      <c r="ET62" s="361"/>
      <c r="EU62" s="362"/>
      <c r="EV62" s="362"/>
      <c r="EW62" s="361"/>
      <c r="EX62" s="362"/>
      <c r="EY62" s="362"/>
      <c r="EZ62" s="362"/>
      <c r="FA62" s="359"/>
      <c r="FB62" s="362"/>
      <c r="FC62" s="362"/>
      <c r="FD62" s="362"/>
      <c r="FE62" s="358"/>
      <c r="FF62" s="361"/>
      <c r="FG62" s="362"/>
      <c r="FH62" s="362"/>
      <c r="FI62" s="362"/>
      <c r="FJ62" s="361"/>
      <c r="FK62" s="361"/>
      <c r="FL62" s="362"/>
      <c r="FM62" s="362"/>
      <c r="FN62" s="362"/>
      <c r="FO62" s="361"/>
      <c r="FP62" s="361"/>
      <c r="FQ62" s="361"/>
      <c r="FR62" s="361"/>
      <c r="FS62" s="361"/>
      <c r="FT62" s="361"/>
      <c r="FU62" s="361"/>
      <c r="FV62" s="361"/>
      <c r="FW62" s="361"/>
      <c r="FX62" s="362"/>
      <c r="FY62" s="362"/>
      <c r="FZ62" s="362"/>
      <c r="GA62" s="362"/>
      <c r="GB62" s="361"/>
      <c r="GC62" s="361"/>
      <c r="GD62" s="361"/>
      <c r="GE62" s="361"/>
      <c r="GF62" s="362"/>
      <c r="GG62" s="361"/>
      <c r="GH62" s="361"/>
      <c r="GI62" s="359"/>
      <c r="GJ62" s="359"/>
      <c r="GK62" s="361"/>
      <c r="GL62" s="361"/>
      <c r="GM62" s="362"/>
      <c r="GN62" s="361"/>
      <c r="GO62" s="361"/>
      <c r="GP62" s="361"/>
      <c r="GQ62" s="364"/>
      <c r="GR62" s="364"/>
    </row>
    <row r="63" spans="1:200" ht="13.5" customHeight="1" x14ac:dyDescent="0.2">
      <c r="A63" s="356"/>
      <c r="B63" s="355"/>
      <c r="C63" s="355"/>
      <c r="D63" s="355"/>
      <c r="E63" s="361"/>
      <c r="F63" s="360"/>
      <c r="G63" s="364"/>
      <c r="H63" s="360"/>
      <c r="I63" s="355"/>
      <c r="J63" s="360"/>
      <c r="K63" s="364"/>
      <c r="L63" s="364"/>
      <c r="M63" s="360"/>
      <c r="N63" s="361"/>
      <c r="O63" s="361"/>
      <c r="P63" s="355"/>
      <c r="Q63" s="360"/>
      <c r="R63" s="361"/>
      <c r="S63" s="361"/>
      <c r="T63" s="361"/>
      <c r="U63" s="360"/>
      <c r="V63" s="361"/>
      <c r="W63" s="361"/>
      <c r="X63" s="361"/>
      <c r="Y63" s="360"/>
      <c r="Z63" s="360"/>
      <c r="AA63" s="360"/>
      <c r="AB63" s="360"/>
      <c r="AC63" s="357"/>
      <c r="AD63" s="354"/>
      <c r="AE63" s="380"/>
      <c r="AF63" s="361"/>
      <c r="AG63" s="355"/>
      <c r="AH63" s="355"/>
      <c r="AI63" s="380"/>
      <c r="AJ63" s="357"/>
      <c r="AK63" s="380"/>
      <c r="AL63" s="390"/>
      <c r="AM63" s="354"/>
      <c r="AN63" s="357"/>
      <c r="AO63" s="357"/>
      <c r="AP63" s="354"/>
      <c r="AQ63" s="380"/>
      <c r="AR63" s="355"/>
      <c r="AS63" s="362"/>
      <c r="AT63" s="362"/>
      <c r="AU63" s="362"/>
      <c r="AV63" s="392"/>
      <c r="AW63" s="392"/>
      <c r="AX63" s="361"/>
      <c r="AY63" s="392"/>
      <c r="AZ63" s="392"/>
      <c r="BA63" s="359"/>
      <c r="BB63" s="359"/>
      <c r="BC63" s="359"/>
      <c r="BD63" s="357"/>
      <c r="BE63" s="357"/>
      <c r="BF63" s="359"/>
      <c r="BG63" s="392"/>
      <c r="BH63" s="392"/>
      <c r="BI63" s="392"/>
      <c r="BJ63" s="392"/>
      <c r="BK63" s="358"/>
      <c r="BL63" s="358"/>
      <c r="BM63" s="354"/>
      <c r="BN63" s="354"/>
      <c r="BO63" s="358"/>
      <c r="BP63" s="357"/>
      <c r="BQ63" s="359"/>
      <c r="BR63" s="392"/>
      <c r="BS63" s="392"/>
      <c r="BT63" s="392"/>
      <c r="BU63" s="392"/>
      <c r="BV63" s="361"/>
      <c r="BW63" s="361"/>
      <c r="BX63" s="392"/>
      <c r="BY63" s="355"/>
      <c r="BZ63" s="354"/>
      <c r="CA63" s="377"/>
      <c r="CB63" s="377"/>
      <c r="CC63" s="377"/>
      <c r="CD63" s="391"/>
      <c r="CE63" s="391"/>
      <c r="CF63" s="391"/>
      <c r="CG63" s="391"/>
      <c r="CH63" s="377"/>
      <c r="CI63" s="391"/>
      <c r="CJ63" s="377"/>
      <c r="CK63" s="377"/>
      <c r="CL63" s="377"/>
      <c r="CM63" s="377"/>
      <c r="CN63" s="377"/>
      <c r="CO63" s="377"/>
      <c r="CP63" s="377"/>
      <c r="CQ63" s="354"/>
      <c r="CR63" s="355"/>
      <c r="CS63" s="361"/>
      <c r="CT63" s="362"/>
      <c r="CU63" s="361"/>
      <c r="CV63" s="361"/>
      <c r="CW63" s="362"/>
      <c r="CX63" s="361"/>
      <c r="CY63" s="359"/>
      <c r="CZ63" s="354"/>
      <c r="DA63" s="354"/>
      <c r="DB63" s="354"/>
      <c r="DC63" s="354"/>
      <c r="DD63" s="354"/>
      <c r="DE63" s="354"/>
      <c r="DF63" s="355"/>
      <c r="DG63" s="361"/>
      <c r="DH63" s="361"/>
      <c r="DI63" s="361"/>
      <c r="DJ63" s="361"/>
      <c r="DK63" s="361"/>
      <c r="DL63" s="361"/>
      <c r="DM63" s="361"/>
      <c r="DN63" s="357"/>
      <c r="DO63" s="354"/>
      <c r="DP63" s="377"/>
      <c r="DQ63" s="377"/>
      <c r="DR63" s="354"/>
      <c r="DS63" s="354"/>
      <c r="DT63" s="354"/>
      <c r="DU63" s="354"/>
      <c r="DV63" s="357"/>
      <c r="DW63" s="361"/>
      <c r="DX63" s="361"/>
      <c r="DY63" s="361"/>
      <c r="DZ63" s="355"/>
      <c r="EA63" s="355"/>
      <c r="EB63" s="356"/>
      <c r="EC63" s="356"/>
      <c r="ED63" s="360"/>
      <c r="EE63" s="364"/>
      <c r="EF63" s="360"/>
      <c r="EG63" s="355"/>
      <c r="EH63" s="362"/>
      <c r="EI63" s="362"/>
      <c r="EJ63" s="358"/>
      <c r="EK63" s="355"/>
      <c r="EL63" s="364"/>
      <c r="EM63" s="364"/>
      <c r="EN63" s="364"/>
      <c r="EO63" s="358"/>
      <c r="EP63" s="358"/>
      <c r="EQ63" s="359"/>
      <c r="ER63" s="359"/>
      <c r="ES63" s="361"/>
      <c r="ET63" s="361"/>
      <c r="EU63" s="361"/>
      <c r="EV63" s="362"/>
      <c r="EW63" s="362"/>
      <c r="EX63" s="361"/>
      <c r="EY63" s="362"/>
      <c r="EZ63" s="362"/>
      <c r="FA63" s="358"/>
      <c r="FB63" s="358"/>
      <c r="FC63" s="362"/>
      <c r="FD63" s="362"/>
      <c r="FE63" s="355"/>
      <c r="FF63" s="362"/>
      <c r="FG63" s="361"/>
      <c r="FH63" s="361"/>
      <c r="FI63" s="361"/>
      <c r="FJ63" s="362"/>
      <c r="FK63" s="362"/>
      <c r="FL63" s="361"/>
      <c r="FM63" s="361"/>
      <c r="FN63" s="362"/>
      <c r="FO63" s="362"/>
      <c r="FP63" s="362"/>
      <c r="FQ63" s="362"/>
      <c r="FR63" s="362"/>
      <c r="FS63" s="361"/>
      <c r="FT63" s="361"/>
      <c r="FU63" s="361"/>
      <c r="FV63" s="361"/>
      <c r="FW63" s="361"/>
      <c r="FX63" s="361"/>
      <c r="FY63" s="361"/>
      <c r="FZ63" s="361"/>
      <c r="GA63" s="361"/>
      <c r="GB63" s="362"/>
      <c r="GC63" s="362"/>
      <c r="GD63" s="362"/>
      <c r="GE63" s="362"/>
      <c r="GF63" s="362"/>
      <c r="GG63" s="362"/>
      <c r="GH63" s="361"/>
      <c r="GI63" s="361"/>
      <c r="GJ63" s="361"/>
      <c r="GK63" s="361"/>
      <c r="GL63" s="361"/>
      <c r="GM63" s="361"/>
      <c r="GN63" s="361"/>
      <c r="GO63" s="356"/>
      <c r="GP63" s="374"/>
      <c r="GQ63" s="374"/>
      <c r="GR63" s="374"/>
    </row>
    <row r="64" spans="1:200" ht="13.5" customHeight="1" x14ac:dyDescent="0.2">
      <c r="A64" s="357"/>
      <c r="B64" s="355"/>
      <c r="C64" s="355"/>
      <c r="D64" s="355"/>
      <c r="E64" s="361"/>
      <c r="F64" s="355"/>
      <c r="G64" s="360"/>
      <c r="H64" s="360"/>
      <c r="I64" s="360"/>
      <c r="J64" s="355"/>
      <c r="K64" s="355"/>
      <c r="L64" s="364"/>
      <c r="M64" s="364"/>
      <c r="N64" s="364"/>
      <c r="O64" s="364"/>
      <c r="P64" s="355"/>
      <c r="Q64" s="360"/>
      <c r="R64" s="360"/>
      <c r="S64" s="360"/>
      <c r="T64" s="361"/>
      <c r="U64" s="361"/>
      <c r="V64" s="361"/>
      <c r="W64" s="361"/>
      <c r="X64" s="361"/>
      <c r="Y64" s="360"/>
      <c r="Z64" s="361"/>
      <c r="AA64" s="361"/>
      <c r="AB64" s="360"/>
      <c r="AC64" s="357"/>
      <c r="AD64" s="354"/>
      <c r="AE64" s="381"/>
      <c r="AF64" s="387"/>
      <c r="AG64" s="362"/>
      <c r="AH64" s="355"/>
      <c r="AI64" s="357"/>
      <c r="AJ64" s="357"/>
      <c r="AK64" s="380"/>
      <c r="AL64" s="380"/>
      <c r="AM64" s="357"/>
      <c r="AN64" s="357"/>
      <c r="AO64" s="357"/>
      <c r="AP64" s="357"/>
      <c r="AQ64" s="380"/>
      <c r="AR64" s="357"/>
      <c r="AS64" s="361"/>
      <c r="AT64" s="362"/>
      <c r="AU64" s="362"/>
      <c r="AV64" s="392"/>
      <c r="AW64" s="361"/>
      <c r="AX64" s="392"/>
      <c r="AY64" s="392"/>
      <c r="AZ64" s="392"/>
      <c r="BA64" s="358"/>
      <c r="BB64" s="358"/>
      <c r="BC64" s="359"/>
      <c r="BD64" s="354"/>
      <c r="BE64" s="354"/>
      <c r="BF64" s="355"/>
      <c r="BG64" s="392"/>
      <c r="BH64" s="392"/>
      <c r="BI64" s="392"/>
      <c r="BJ64" s="392"/>
      <c r="BK64" s="359"/>
      <c r="BL64" s="354"/>
      <c r="BM64" s="357"/>
      <c r="BN64" s="359"/>
      <c r="BO64" s="359"/>
      <c r="BP64" s="359"/>
      <c r="BQ64" s="392"/>
      <c r="BR64" s="392"/>
      <c r="BS64" s="392"/>
      <c r="BT64" s="361"/>
      <c r="BU64" s="361"/>
      <c r="BV64" s="361"/>
      <c r="BW64" s="361"/>
      <c r="BX64" s="361"/>
      <c r="BY64" s="361"/>
      <c r="BZ64" s="354"/>
      <c r="CA64" s="377"/>
      <c r="CB64" s="377"/>
      <c r="CC64" s="377"/>
      <c r="CD64" s="377"/>
      <c r="CE64" s="377"/>
      <c r="CF64" s="377"/>
      <c r="CG64" s="377"/>
      <c r="CH64" s="377"/>
      <c r="CI64" s="391"/>
      <c r="CJ64" s="377"/>
      <c r="CK64" s="377"/>
      <c r="CL64" s="377"/>
      <c r="CM64" s="377"/>
      <c r="CN64" s="377"/>
      <c r="CO64" s="377"/>
      <c r="CP64" s="377"/>
      <c r="CQ64" s="377"/>
      <c r="CR64" s="354"/>
      <c r="CS64" s="361"/>
      <c r="CT64" s="362"/>
      <c r="CU64" s="362"/>
      <c r="CV64" s="362"/>
      <c r="CW64" s="361"/>
      <c r="CX64" s="362"/>
      <c r="CY64" s="354"/>
      <c r="CZ64" s="377"/>
      <c r="DA64" s="377"/>
      <c r="DB64" s="377"/>
      <c r="DC64" s="377"/>
      <c r="DD64" s="377"/>
      <c r="DE64" s="377"/>
      <c r="DF64" s="354"/>
      <c r="DG64" s="354"/>
      <c r="DH64" s="361"/>
      <c r="DI64" s="361"/>
      <c r="DJ64" s="361"/>
      <c r="DK64" s="361"/>
      <c r="DL64" s="361"/>
      <c r="DM64" s="361"/>
      <c r="DN64" s="354"/>
      <c r="DO64" s="354"/>
      <c r="DP64" s="377"/>
      <c r="DQ64" s="377"/>
      <c r="DR64" s="364"/>
      <c r="DS64" s="377"/>
      <c r="DT64" s="377"/>
      <c r="DU64" s="391"/>
      <c r="DV64" s="354"/>
      <c r="DW64" s="361"/>
      <c r="DX64" s="361"/>
      <c r="DY64" s="362"/>
      <c r="DZ64" s="362"/>
      <c r="EA64" s="355"/>
      <c r="EB64" s="361"/>
      <c r="EC64" s="355"/>
      <c r="ED64" s="364"/>
      <c r="EE64" s="360"/>
      <c r="EF64" s="361"/>
      <c r="EG64" s="361"/>
      <c r="EH64" s="360"/>
      <c r="EI64" s="364"/>
      <c r="EJ64" s="364"/>
      <c r="EK64" s="364"/>
      <c r="EL64" s="367"/>
      <c r="EM64" s="364"/>
      <c r="EN64" s="364"/>
      <c r="EO64" s="364"/>
      <c r="EP64" s="361"/>
      <c r="EQ64" s="362"/>
      <c r="ER64" s="358"/>
      <c r="ES64" s="359"/>
      <c r="ET64" s="361"/>
      <c r="EU64" s="361"/>
      <c r="EV64" s="362"/>
      <c r="EW64" s="362"/>
      <c r="EX64" s="362"/>
      <c r="EY64" s="361"/>
      <c r="EZ64" s="362"/>
      <c r="FA64" s="358"/>
      <c r="FB64" s="359"/>
      <c r="FC64" s="362"/>
      <c r="FD64" s="362"/>
      <c r="FE64" s="362"/>
      <c r="FF64" s="362"/>
      <c r="FG64" s="362"/>
      <c r="FH64" s="361"/>
      <c r="FI64" s="361"/>
      <c r="FJ64" s="361"/>
      <c r="FK64" s="362"/>
      <c r="FL64" s="362"/>
      <c r="FM64" s="362"/>
      <c r="FN64" s="362"/>
      <c r="FO64" s="362"/>
      <c r="FP64" s="362"/>
      <c r="FQ64" s="361"/>
      <c r="FR64" s="361"/>
      <c r="FS64" s="362"/>
      <c r="FT64" s="362"/>
      <c r="FU64" s="361"/>
      <c r="FV64" s="361"/>
      <c r="FW64" s="361"/>
      <c r="FX64" s="361"/>
      <c r="FY64" s="361"/>
      <c r="FZ64" s="361"/>
      <c r="GA64" s="361"/>
      <c r="GB64" s="361"/>
      <c r="GC64" s="361"/>
      <c r="GD64" s="361"/>
      <c r="GE64" s="361"/>
      <c r="GF64" s="361"/>
      <c r="GG64" s="361"/>
      <c r="GH64" s="361"/>
      <c r="GI64" s="361"/>
      <c r="GJ64" s="361"/>
      <c r="GK64" s="361"/>
      <c r="GL64" s="361"/>
      <c r="GM64" s="355"/>
      <c r="GN64" s="374"/>
      <c r="GO64" s="374"/>
      <c r="GP64" s="374"/>
      <c r="GQ64" s="374"/>
      <c r="GR64" s="374"/>
    </row>
    <row r="65" spans="1:200" ht="13.5" customHeight="1" x14ac:dyDescent="0.2">
      <c r="A65" s="358"/>
      <c r="B65" s="357"/>
      <c r="C65" s="359"/>
      <c r="D65" s="361"/>
      <c r="E65" s="361"/>
      <c r="F65" s="361"/>
      <c r="G65" s="361"/>
      <c r="H65" s="361"/>
      <c r="I65" s="361"/>
      <c r="J65" s="361"/>
      <c r="K65" s="361"/>
      <c r="L65" s="361"/>
      <c r="M65" s="361"/>
      <c r="N65" s="364"/>
      <c r="O65" s="356"/>
      <c r="P65" s="361"/>
      <c r="Q65" s="361"/>
      <c r="R65" s="361"/>
      <c r="S65" s="361"/>
      <c r="T65" s="361"/>
      <c r="U65" s="361"/>
      <c r="V65" s="361"/>
      <c r="W65" s="361"/>
      <c r="X65" s="361"/>
      <c r="Y65" s="361"/>
      <c r="Z65" s="361"/>
      <c r="AA65" s="361"/>
      <c r="AB65" s="361"/>
      <c r="AC65" s="355"/>
      <c r="AD65" s="357"/>
      <c r="AE65" s="357"/>
      <c r="AF65" s="380"/>
      <c r="AG65" s="390"/>
      <c r="AH65" s="355"/>
      <c r="AI65" s="357"/>
      <c r="AJ65" s="357"/>
      <c r="AK65" s="380"/>
      <c r="AL65" s="357"/>
      <c r="AM65" s="354"/>
      <c r="AN65" s="357"/>
      <c r="AO65" s="357"/>
      <c r="AP65" s="380"/>
      <c r="AQ65" s="357"/>
      <c r="AR65" s="357"/>
      <c r="AS65" s="362"/>
      <c r="AT65" s="362"/>
      <c r="AU65" s="362"/>
      <c r="AV65" s="361"/>
      <c r="AW65" s="392"/>
      <c r="AX65" s="392"/>
      <c r="AY65" s="392"/>
      <c r="AZ65" s="392"/>
      <c r="BA65" s="358"/>
      <c r="BB65" s="354"/>
      <c r="BC65" s="354"/>
      <c r="BD65" s="354"/>
      <c r="BE65" s="358"/>
      <c r="BF65" s="354"/>
      <c r="BG65" s="357"/>
      <c r="BH65" s="359"/>
      <c r="BI65" s="358"/>
      <c r="BJ65" s="392"/>
      <c r="BK65" s="359"/>
      <c r="BL65" s="359"/>
      <c r="BM65" s="359"/>
      <c r="BN65" s="359"/>
      <c r="BO65" s="392"/>
      <c r="BP65" s="392"/>
      <c r="BQ65" s="392"/>
      <c r="BR65" s="392"/>
      <c r="BS65" s="392"/>
      <c r="BT65" s="361"/>
      <c r="BU65" s="392"/>
      <c r="BV65" s="392"/>
      <c r="BW65" s="361"/>
      <c r="BX65" s="361"/>
      <c r="BY65" s="361"/>
      <c r="BZ65" s="354"/>
      <c r="CA65" s="377"/>
      <c r="CB65" s="377"/>
      <c r="CC65" s="377"/>
      <c r="CD65" s="377"/>
      <c r="CE65" s="377"/>
      <c r="CF65" s="377"/>
      <c r="CG65" s="377"/>
      <c r="CH65" s="377"/>
      <c r="CI65" s="377"/>
      <c r="CJ65" s="377"/>
      <c r="CK65" s="377"/>
      <c r="CL65" s="377"/>
      <c r="CM65" s="377"/>
      <c r="CN65" s="377"/>
      <c r="CO65" s="377"/>
      <c r="CP65" s="377"/>
      <c r="CQ65" s="377"/>
      <c r="CR65" s="354"/>
      <c r="CS65" s="362"/>
      <c r="CT65" s="362"/>
      <c r="CU65" s="362"/>
      <c r="CV65" s="362"/>
      <c r="CW65" s="362"/>
      <c r="CX65" s="354"/>
      <c r="CY65" s="377"/>
      <c r="CZ65" s="391"/>
      <c r="DA65" s="377"/>
      <c r="DB65" s="377"/>
      <c r="DC65" s="377"/>
      <c r="DD65" s="377"/>
      <c r="DE65" s="377"/>
      <c r="DF65" s="377"/>
      <c r="DG65" s="391"/>
      <c r="DH65" s="354"/>
      <c r="DI65" s="361"/>
      <c r="DJ65" s="361"/>
      <c r="DK65" s="361"/>
      <c r="DL65" s="361"/>
      <c r="DM65" s="361"/>
      <c r="DN65" s="354"/>
      <c r="DO65" s="354"/>
      <c r="DP65" s="377"/>
      <c r="DQ65" s="377"/>
      <c r="DR65" s="377"/>
      <c r="DS65" s="377"/>
      <c r="DT65" s="377"/>
      <c r="DU65" s="377"/>
      <c r="DV65" s="354"/>
      <c r="DW65" s="362"/>
      <c r="DX65" s="362"/>
      <c r="DY65" s="362"/>
      <c r="DZ65" s="355"/>
      <c r="EA65" s="355"/>
      <c r="EB65" s="361"/>
      <c r="EC65" s="361"/>
      <c r="ED65" s="360"/>
      <c r="EE65" s="361"/>
      <c r="EF65" s="361"/>
      <c r="EG65" s="355"/>
      <c r="EH65" s="361"/>
      <c r="EI65" s="361"/>
      <c r="EJ65" s="360"/>
      <c r="EK65" s="364"/>
      <c r="EL65" s="364"/>
      <c r="EM65" s="358"/>
      <c r="EN65" s="364"/>
      <c r="EO65" s="364"/>
      <c r="EP65" s="364"/>
      <c r="EQ65" s="360"/>
      <c r="ER65" s="355"/>
      <c r="ES65" s="358"/>
      <c r="ET65" s="359"/>
      <c r="EU65" s="355"/>
      <c r="EV65" s="355"/>
      <c r="EW65" s="361"/>
      <c r="EX65" s="361"/>
      <c r="EY65" s="362"/>
      <c r="EZ65" s="362"/>
      <c r="FA65" s="362"/>
      <c r="FB65" s="359"/>
      <c r="FC65" s="357"/>
      <c r="FD65" s="362"/>
      <c r="FE65" s="362"/>
      <c r="FF65" s="362"/>
      <c r="FG65" s="362"/>
      <c r="FH65" s="362"/>
      <c r="FI65" s="362"/>
      <c r="FJ65" s="361"/>
      <c r="FK65" s="361"/>
      <c r="FL65" s="361"/>
      <c r="FM65" s="361"/>
      <c r="FN65" s="362"/>
      <c r="FO65" s="361"/>
      <c r="FP65" s="361"/>
      <c r="FQ65" s="361"/>
      <c r="FR65" s="361"/>
      <c r="FS65" s="361"/>
      <c r="FT65" s="361"/>
      <c r="FU65" s="361"/>
      <c r="FV65" s="361"/>
      <c r="FW65" s="361"/>
      <c r="FX65" s="361"/>
      <c r="FY65" s="361"/>
      <c r="FZ65" s="362"/>
      <c r="GA65" s="362"/>
      <c r="GB65" s="362"/>
      <c r="GC65" s="361"/>
      <c r="GD65" s="361"/>
      <c r="GE65" s="361"/>
      <c r="GF65" s="361"/>
      <c r="GG65" s="362"/>
      <c r="GH65" s="362"/>
      <c r="GI65" s="355"/>
      <c r="GJ65" s="356"/>
      <c r="GK65" s="356"/>
      <c r="GL65" s="374"/>
      <c r="GM65" s="388"/>
      <c r="GN65" s="388"/>
      <c r="GO65" s="374"/>
      <c r="GP65" s="374"/>
      <c r="GQ65" s="374"/>
      <c r="GR65" s="364"/>
    </row>
    <row r="66" spans="1:200" ht="13.5" customHeight="1" x14ac:dyDescent="0.2">
      <c r="A66" s="362"/>
      <c r="B66" s="358"/>
      <c r="C66" s="358"/>
      <c r="D66" s="362"/>
      <c r="E66" s="362"/>
      <c r="F66" s="362"/>
      <c r="G66" s="361"/>
      <c r="H66" s="355"/>
      <c r="I66" s="361"/>
      <c r="J66" s="361"/>
      <c r="K66" s="361"/>
      <c r="L66" s="361"/>
      <c r="M66" s="361"/>
      <c r="N66" s="361"/>
      <c r="O66" s="361"/>
      <c r="P66" s="361"/>
      <c r="Q66" s="361"/>
      <c r="R66" s="361"/>
      <c r="S66" s="361"/>
      <c r="T66" s="364"/>
      <c r="U66" s="360"/>
      <c r="V66" s="360"/>
      <c r="W66" s="360"/>
      <c r="X66" s="361"/>
      <c r="Y66" s="361"/>
      <c r="Z66" s="361"/>
      <c r="AA66" s="361"/>
      <c r="AB66" s="361"/>
      <c r="AC66" s="356"/>
      <c r="AD66" s="357"/>
      <c r="AE66" s="357"/>
      <c r="AF66" s="380"/>
      <c r="AG66" s="354"/>
      <c r="AH66" s="390"/>
      <c r="AI66" s="357"/>
      <c r="AJ66" s="357"/>
      <c r="AK66" s="357"/>
      <c r="AL66" s="357"/>
      <c r="AM66" s="357"/>
      <c r="AN66" s="357"/>
      <c r="AO66" s="357"/>
      <c r="AP66" s="357"/>
      <c r="AQ66" s="380"/>
      <c r="AR66" s="357"/>
      <c r="AS66" s="362"/>
      <c r="AT66" s="362"/>
      <c r="AU66" s="361"/>
      <c r="AV66" s="392"/>
      <c r="AW66" s="392"/>
      <c r="AX66" s="361"/>
      <c r="AY66" s="392"/>
      <c r="AZ66" s="392"/>
      <c r="BA66" s="357"/>
      <c r="BB66" s="354"/>
      <c r="BC66" s="354"/>
      <c r="BD66" s="358"/>
      <c r="BE66" s="354"/>
      <c r="BF66" s="354"/>
      <c r="BG66" s="357"/>
      <c r="BH66" s="357"/>
      <c r="BI66" s="359"/>
      <c r="BJ66" s="361"/>
      <c r="BK66" s="358"/>
      <c r="BL66" s="358"/>
      <c r="BM66" s="359"/>
      <c r="BN66" s="392"/>
      <c r="BO66" s="392"/>
      <c r="BP66" s="392"/>
      <c r="BQ66" s="392"/>
      <c r="BR66" s="359"/>
      <c r="BS66" s="359"/>
      <c r="BT66" s="361"/>
      <c r="BU66" s="392"/>
      <c r="BV66" s="361"/>
      <c r="BW66" s="361"/>
      <c r="BX66" s="361"/>
      <c r="BY66" s="361"/>
      <c r="BZ66" s="354"/>
      <c r="CA66" s="377"/>
      <c r="CB66" s="377"/>
      <c r="CC66" s="377"/>
      <c r="CD66" s="377"/>
      <c r="CE66" s="377"/>
      <c r="CF66" s="391"/>
      <c r="CG66" s="391"/>
      <c r="CH66" s="391"/>
      <c r="CI66" s="391"/>
      <c r="CJ66" s="391"/>
      <c r="CK66" s="377"/>
      <c r="CL66" s="377"/>
      <c r="CM66" s="377"/>
      <c r="CN66" s="377"/>
      <c r="CO66" s="377"/>
      <c r="CP66" s="377"/>
      <c r="CQ66" s="377"/>
      <c r="CR66" s="354"/>
      <c r="CS66" s="362"/>
      <c r="CT66" s="362"/>
      <c r="CU66" s="359"/>
      <c r="CV66" s="362"/>
      <c r="CW66" s="354"/>
      <c r="CX66" s="377"/>
      <c r="CY66" s="377"/>
      <c r="CZ66" s="377"/>
      <c r="DA66" s="377"/>
      <c r="DB66" s="377"/>
      <c r="DC66" s="377"/>
      <c r="DD66" s="377"/>
      <c r="DE66" s="377"/>
      <c r="DF66" s="377"/>
      <c r="DG66" s="377"/>
      <c r="DH66" s="377"/>
      <c r="DI66" s="354"/>
      <c r="DJ66" s="361"/>
      <c r="DK66" s="361"/>
      <c r="DL66" s="361"/>
      <c r="DM66" s="361"/>
      <c r="DN66" s="354"/>
      <c r="DO66" s="354"/>
      <c r="DP66" s="377"/>
      <c r="DQ66" s="377"/>
      <c r="DR66" s="377"/>
      <c r="DS66" s="354"/>
      <c r="DT66" s="354"/>
      <c r="DU66" s="354"/>
      <c r="DV66" s="354"/>
      <c r="DW66" s="357"/>
      <c r="DX66" s="361"/>
      <c r="DY66" s="355"/>
      <c r="DZ66" s="356"/>
      <c r="EA66" s="356"/>
      <c r="EB66" s="360"/>
      <c r="EC66" s="364"/>
      <c r="ED66" s="364"/>
      <c r="EE66" s="364"/>
      <c r="EF66" s="359"/>
      <c r="EG66" s="359"/>
      <c r="EH66" s="357"/>
      <c r="EI66" s="357"/>
      <c r="EJ66" s="359"/>
      <c r="EK66" s="364"/>
      <c r="EL66" s="364"/>
      <c r="EM66" s="364"/>
      <c r="EN66" s="362"/>
      <c r="EO66" s="355"/>
      <c r="EP66" s="364"/>
      <c r="EQ66" s="364"/>
      <c r="ER66" s="360"/>
      <c r="ES66" s="364"/>
      <c r="ET66" s="359"/>
      <c r="EU66" s="358"/>
      <c r="EV66" s="355"/>
      <c r="EW66" s="362"/>
      <c r="EX66" s="361"/>
      <c r="EY66" s="361"/>
      <c r="EZ66" s="362"/>
      <c r="FA66" s="362"/>
      <c r="FB66" s="359"/>
      <c r="FC66" s="359"/>
      <c r="FD66" s="359"/>
      <c r="FE66" s="362"/>
      <c r="FF66" s="362"/>
      <c r="FG66" s="362"/>
      <c r="FH66" s="362"/>
      <c r="FI66" s="362"/>
      <c r="FJ66" s="362"/>
      <c r="FK66" s="361"/>
      <c r="FL66" s="361"/>
      <c r="FM66" s="361"/>
      <c r="FN66" s="361"/>
      <c r="FO66" s="361"/>
      <c r="FP66" s="361"/>
      <c r="FQ66" s="361"/>
      <c r="FR66" s="362"/>
      <c r="FS66" s="362"/>
      <c r="FT66" s="362"/>
      <c r="FU66" s="362"/>
      <c r="FV66" s="362"/>
      <c r="FW66" s="362"/>
      <c r="FX66" s="362"/>
      <c r="FY66" s="362"/>
      <c r="FZ66" s="361"/>
      <c r="GA66" s="361"/>
      <c r="GB66" s="361"/>
      <c r="GC66" s="361"/>
      <c r="GD66" s="361"/>
      <c r="GE66" s="355"/>
      <c r="GF66" s="355"/>
      <c r="GG66" s="355"/>
      <c r="GH66" s="355"/>
      <c r="GI66" s="355"/>
      <c r="GJ66" s="364"/>
      <c r="GK66" s="374"/>
      <c r="GL66" s="374"/>
      <c r="GM66" s="388"/>
      <c r="GN66" s="374"/>
      <c r="GO66" s="374"/>
      <c r="GP66" s="374"/>
      <c r="GQ66" s="364"/>
      <c r="GR66" s="374"/>
    </row>
    <row r="67" spans="1:200" ht="13.5" customHeight="1" x14ac:dyDescent="0.2">
      <c r="A67" s="362"/>
      <c r="B67" s="358"/>
      <c r="C67" s="358"/>
      <c r="D67" s="358"/>
      <c r="E67" s="362"/>
      <c r="F67" s="362"/>
      <c r="G67" s="362"/>
      <c r="H67" s="362"/>
      <c r="I67" s="362"/>
      <c r="J67" s="362"/>
      <c r="K67" s="355"/>
      <c r="L67" s="361"/>
      <c r="M67" s="360"/>
      <c r="N67" s="361"/>
      <c r="O67" s="361"/>
      <c r="P67" s="361"/>
      <c r="Q67" s="361"/>
      <c r="R67" s="361"/>
      <c r="S67" s="361"/>
      <c r="T67" s="361"/>
      <c r="U67" s="361"/>
      <c r="V67" s="361"/>
      <c r="W67" s="361"/>
      <c r="X67" s="361"/>
      <c r="Y67" s="361"/>
      <c r="Z67" s="361"/>
      <c r="AA67" s="361"/>
      <c r="AB67" s="361"/>
      <c r="AC67" s="357"/>
      <c r="AD67" s="357"/>
      <c r="AE67" s="357"/>
      <c r="AF67" s="357"/>
      <c r="AG67" s="354"/>
      <c r="AH67" s="358"/>
      <c r="AI67" s="357"/>
      <c r="AJ67" s="357"/>
      <c r="AK67" s="357"/>
      <c r="AL67" s="357"/>
      <c r="AM67" s="357"/>
      <c r="AN67" s="357"/>
      <c r="AO67" s="357"/>
      <c r="AP67" s="357"/>
      <c r="AQ67" s="357"/>
      <c r="AR67" s="357"/>
      <c r="AS67" s="362"/>
      <c r="AT67" s="362"/>
      <c r="AU67" s="359"/>
      <c r="AV67" s="361"/>
      <c r="AW67" s="392"/>
      <c r="AX67" s="359"/>
      <c r="AY67" s="392"/>
      <c r="AZ67" s="392"/>
      <c r="BA67" s="392"/>
      <c r="BB67" s="358"/>
      <c r="BC67" s="355"/>
      <c r="BD67" s="359"/>
      <c r="BE67" s="357"/>
      <c r="BF67" s="358"/>
      <c r="BG67" s="392"/>
      <c r="BH67" s="392"/>
      <c r="BI67" s="392"/>
      <c r="BJ67" s="354"/>
      <c r="BK67" s="359"/>
      <c r="BL67" s="392"/>
      <c r="BM67" s="392"/>
      <c r="BN67" s="392"/>
      <c r="BO67" s="392"/>
      <c r="BP67" s="392"/>
      <c r="BQ67" s="359"/>
      <c r="BR67" s="392"/>
      <c r="BS67" s="361"/>
      <c r="BT67" s="361"/>
      <c r="BU67" s="392"/>
      <c r="BV67" s="361"/>
      <c r="BW67" s="392"/>
      <c r="BX67" s="361"/>
      <c r="BY67" s="361"/>
      <c r="BZ67" s="354"/>
      <c r="CA67" s="377"/>
      <c r="CB67" s="377"/>
      <c r="CC67" s="377"/>
      <c r="CD67" s="377"/>
      <c r="CE67" s="377"/>
      <c r="CF67" s="377"/>
      <c r="CG67" s="377"/>
      <c r="CH67" s="377"/>
      <c r="CI67" s="377"/>
      <c r="CJ67" s="377"/>
      <c r="CK67" s="377"/>
      <c r="CL67" s="377"/>
      <c r="CM67" s="377"/>
      <c r="CN67" s="377"/>
      <c r="CO67" s="377"/>
      <c r="CP67" s="377"/>
      <c r="CQ67" s="377"/>
      <c r="CR67" s="354"/>
      <c r="CS67" s="361"/>
      <c r="CT67" s="362"/>
      <c r="CU67" s="362"/>
      <c r="CV67" s="359"/>
      <c r="CW67" s="354"/>
      <c r="CX67" s="377"/>
      <c r="CY67" s="377"/>
      <c r="CZ67" s="377"/>
      <c r="DA67" s="377"/>
      <c r="DB67" s="377"/>
      <c r="DC67" s="377"/>
      <c r="DD67" s="377"/>
      <c r="DE67" s="377"/>
      <c r="DF67" s="377"/>
      <c r="DG67" s="377"/>
      <c r="DH67" s="391"/>
      <c r="DI67" s="377"/>
      <c r="DJ67" s="354"/>
      <c r="DK67" s="361"/>
      <c r="DL67" s="362"/>
      <c r="DM67" s="358"/>
      <c r="DN67" s="354"/>
      <c r="DO67" s="354"/>
      <c r="DP67" s="391"/>
      <c r="DQ67" s="377"/>
      <c r="DR67" s="377"/>
      <c r="DS67" s="364"/>
      <c r="DT67" s="377"/>
      <c r="DU67" s="377"/>
      <c r="DV67" s="377"/>
      <c r="DW67" s="354"/>
      <c r="DX67" s="356"/>
      <c r="DY67" s="364"/>
      <c r="DZ67" s="356"/>
      <c r="EA67" s="364"/>
      <c r="EB67" s="364"/>
      <c r="EC67" s="361"/>
      <c r="ED67" s="356"/>
      <c r="EE67" s="360"/>
      <c r="EF67" s="361"/>
      <c r="EG67" s="362"/>
      <c r="EH67" s="362"/>
      <c r="EI67" s="361"/>
      <c r="EJ67" s="359"/>
      <c r="EK67" s="359"/>
      <c r="EL67" s="359"/>
      <c r="EM67" s="361"/>
      <c r="EN67" s="361"/>
      <c r="EO67" s="355"/>
      <c r="EP67" s="355"/>
      <c r="EQ67" s="364"/>
      <c r="ER67" s="360"/>
      <c r="ES67" s="360"/>
      <c r="ET67" s="360"/>
      <c r="EU67" s="358"/>
      <c r="EV67" s="358"/>
      <c r="EW67" s="362"/>
      <c r="EX67" s="361"/>
      <c r="EY67" s="361"/>
      <c r="EZ67" s="361"/>
      <c r="FA67" s="362"/>
      <c r="FB67" s="362"/>
      <c r="FC67" s="359"/>
      <c r="FD67" s="359"/>
      <c r="FE67" s="362"/>
      <c r="FF67" s="362"/>
      <c r="FG67" s="362"/>
      <c r="FH67" s="361"/>
      <c r="FI67" s="362"/>
      <c r="FJ67" s="362"/>
      <c r="FK67" s="362"/>
      <c r="FL67" s="362"/>
      <c r="FM67" s="361"/>
      <c r="FN67" s="361"/>
      <c r="FO67" s="361"/>
      <c r="FP67" s="362"/>
      <c r="FQ67" s="362"/>
      <c r="FR67" s="362"/>
      <c r="FS67" s="362"/>
      <c r="FT67" s="361"/>
      <c r="FU67" s="361"/>
      <c r="FV67" s="361"/>
      <c r="FW67" s="361"/>
      <c r="FX67" s="361"/>
      <c r="FY67" s="361"/>
      <c r="FZ67" s="361"/>
      <c r="GA67" s="361"/>
      <c r="GB67" s="361"/>
      <c r="GC67" s="356"/>
      <c r="GD67" s="356"/>
      <c r="GE67" s="355"/>
      <c r="GF67" s="355"/>
      <c r="GG67" s="355"/>
      <c r="GH67" s="364"/>
      <c r="GI67" s="364"/>
      <c r="GJ67" s="374"/>
      <c r="GK67" s="374"/>
      <c r="GL67" s="374"/>
      <c r="GM67" s="374"/>
      <c r="GN67" s="374"/>
      <c r="GO67" s="364"/>
      <c r="GP67" s="364"/>
      <c r="GQ67" s="364"/>
      <c r="GR67" s="364"/>
    </row>
    <row r="68" spans="1:200" ht="13.5" customHeight="1" x14ac:dyDescent="0.2">
      <c r="A68" s="362"/>
      <c r="B68" s="358"/>
      <c r="C68" s="359"/>
      <c r="D68" s="359"/>
      <c r="E68" s="362"/>
      <c r="F68" s="362"/>
      <c r="G68" s="362"/>
      <c r="H68" s="362"/>
      <c r="I68" s="362"/>
      <c r="J68" s="362"/>
      <c r="K68" s="358"/>
      <c r="L68" s="355"/>
      <c r="M68" s="355"/>
      <c r="N68" s="360"/>
      <c r="O68" s="360"/>
      <c r="P68" s="361"/>
      <c r="Q68" s="361"/>
      <c r="R68" s="361"/>
      <c r="S68" s="361"/>
      <c r="T68" s="361"/>
      <c r="U68" s="361"/>
      <c r="V68" s="361"/>
      <c r="W68" s="361"/>
      <c r="X68" s="361"/>
      <c r="Y68" s="361"/>
      <c r="Z68" s="361"/>
      <c r="AA68" s="361"/>
      <c r="AB68" s="362"/>
      <c r="AC68" s="358"/>
      <c r="AD68" s="354"/>
      <c r="AE68" s="354"/>
      <c r="AF68" s="357"/>
      <c r="AG68" s="354"/>
      <c r="AH68" s="357"/>
      <c r="AI68" s="357"/>
      <c r="AJ68" s="357"/>
      <c r="AK68" s="357"/>
      <c r="AL68" s="369"/>
      <c r="AM68" s="354"/>
      <c r="AN68" s="354"/>
      <c r="AO68" s="357"/>
      <c r="AP68" s="357"/>
      <c r="AQ68" s="357"/>
      <c r="AR68" s="354"/>
      <c r="AS68" s="362"/>
      <c r="AT68" s="362"/>
      <c r="AU68" s="362"/>
      <c r="AV68" s="392"/>
      <c r="AW68" s="359"/>
      <c r="AX68" s="359"/>
      <c r="AY68" s="392"/>
      <c r="AZ68" s="392"/>
      <c r="BA68" s="392"/>
      <c r="BB68" s="392"/>
      <c r="BC68" s="359"/>
      <c r="BD68" s="357"/>
      <c r="BE68" s="359"/>
      <c r="BF68" s="392"/>
      <c r="BG68" s="392"/>
      <c r="BH68" s="392"/>
      <c r="BI68" s="354"/>
      <c r="BJ68" s="354"/>
      <c r="BK68" s="354"/>
      <c r="BL68" s="392"/>
      <c r="BM68" s="359"/>
      <c r="BN68" s="358"/>
      <c r="BO68" s="392"/>
      <c r="BP68" s="359"/>
      <c r="BQ68" s="392"/>
      <c r="BR68" s="392"/>
      <c r="BS68" s="392"/>
      <c r="BT68" s="361"/>
      <c r="BU68" s="392"/>
      <c r="BV68" s="361"/>
      <c r="BW68" s="361"/>
      <c r="BX68" s="361"/>
      <c r="BY68" s="361"/>
      <c r="BZ68" s="354"/>
      <c r="CA68" s="377"/>
      <c r="CB68" s="377"/>
      <c r="CC68" s="354"/>
      <c r="CD68" s="377"/>
      <c r="CE68" s="391"/>
      <c r="CF68" s="391"/>
      <c r="CG68" s="377"/>
      <c r="CH68" s="377"/>
      <c r="CI68" s="377"/>
      <c r="CJ68" s="377"/>
      <c r="CK68" s="377"/>
      <c r="CL68" s="377"/>
      <c r="CM68" s="377"/>
      <c r="CN68" s="377"/>
      <c r="CO68" s="377"/>
      <c r="CP68" s="377"/>
      <c r="CQ68" s="377"/>
      <c r="CR68" s="354"/>
      <c r="CS68" s="357"/>
      <c r="CT68" s="361"/>
      <c r="CU68" s="362"/>
      <c r="CV68" s="354"/>
      <c r="CW68" s="377"/>
      <c r="CX68" s="377"/>
      <c r="CY68" s="377"/>
      <c r="CZ68" s="377"/>
      <c r="DA68" s="377"/>
      <c r="DB68" s="377"/>
      <c r="DC68" s="377"/>
      <c r="DD68" s="377"/>
      <c r="DE68" s="377"/>
      <c r="DF68" s="377"/>
      <c r="DG68" s="377"/>
      <c r="DH68" s="391"/>
      <c r="DI68" s="377"/>
      <c r="DJ68" s="354"/>
      <c r="DK68" s="362"/>
      <c r="DL68" s="362"/>
      <c r="DM68" s="362"/>
      <c r="DN68" s="354"/>
      <c r="DO68" s="354"/>
      <c r="DP68" s="377"/>
      <c r="DQ68" s="377"/>
      <c r="DR68" s="377"/>
      <c r="DS68" s="377"/>
      <c r="DT68" s="377"/>
      <c r="DU68" s="377"/>
      <c r="DV68" s="377"/>
      <c r="DW68" s="354"/>
      <c r="DX68" s="356"/>
      <c r="DY68" s="360"/>
      <c r="DZ68" s="360"/>
      <c r="EA68" s="362"/>
      <c r="EB68" s="361"/>
      <c r="EC68" s="362"/>
      <c r="ED68" s="356"/>
      <c r="EE68" s="364"/>
      <c r="EF68" s="361"/>
      <c r="EG68" s="361"/>
      <c r="EH68" s="362"/>
      <c r="EI68" s="362"/>
      <c r="EJ68" s="362"/>
      <c r="EK68" s="358"/>
      <c r="EL68" s="359"/>
      <c r="EM68" s="359"/>
      <c r="EN68" s="359"/>
      <c r="EO68" s="361"/>
      <c r="EP68" s="362"/>
      <c r="EQ68" s="362"/>
      <c r="ER68" s="361"/>
      <c r="ES68" s="360"/>
      <c r="ET68" s="360"/>
      <c r="EU68" s="355"/>
      <c r="EV68" s="355"/>
      <c r="EW68" s="359"/>
      <c r="EX68" s="358"/>
      <c r="EY68" s="361"/>
      <c r="EZ68" s="361"/>
      <c r="FA68" s="362"/>
      <c r="FB68" s="362"/>
      <c r="FC68" s="358"/>
      <c r="FD68" s="359"/>
      <c r="FE68" s="359"/>
      <c r="FF68" s="362"/>
      <c r="FG68" s="362"/>
      <c r="FH68" s="362"/>
      <c r="FI68" s="361"/>
      <c r="FJ68" s="362"/>
      <c r="FK68" s="362"/>
      <c r="FL68" s="362"/>
      <c r="FM68" s="361"/>
      <c r="FN68" s="362"/>
      <c r="FO68" s="361"/>
      <c r="FP68" s="361"/>
      <c r="FQ68" s="362"/>
      <c r="FR68" s="362"/>
      <c r="FS68" s="362"/>
      <c r="FT68" s="362"/>
      <c r="FU68" s="362"/>
      <c r="FV68" s="362"/>
      <c r="FW68" s="362"/>
      <c r="FX68" s="362"/>
      <c r="FY68" s="361"/>
      <c r="FZ68" s="360"/>
      <c r="GA68" s="360"/>
      <c r="GB68" s="360"/>
      <c r="GC68" s="364"/>
      <c r="GD68" s="364"/>
      <c r="GE68" s="374"/>
      <c r="GF68" s="374"/>
      <c r="GG68" s="364"/>
      <c r="GH68" s="364"/>
      <c r="GI68" s="364"/>
      <c r="GJ68" s="374"/>
      <c r="GK68" s="374"/>
      <c r="GL68" s="374"/>
      <c r="GM68" s="364"/>
      <c r="GN68" s="364"/>
      <c r="GO68" s="364"/>
      <c r="GP68" s="364"/>
      <c r="GQ68" s="364"/>
      <c r="GR68" s="364"/>
    </row>
    <row r="69" spans="1:200" ht="13.5" customHeight="1" x14ac:dyDescent="0.2">
      <c r="A69" s="362"/>
      <c r="B69" s="359"/>
      <c r="C69" s="359"/>
      <c r="D69" s="359"/>
      <c r="E69" s="359"/>
      <c r="F69" s="358"/>
      <c r="G69" s="361"/>
      <c r="H69" s="361"/>
      <c r="I69" s="362"/>
      <c r="J69" s="362"/>
      <c r="K69" s="362"/>
      <c r="L69" s="358"/>
      <c r="M69" s="362"/>
      <c r="N69" s="362"/>
      <c r="O69" s="355"/>
      <c r="P69" s="355"/>
      <c r="Q69" s="361"/>
      <c r="R69" s="361"/>
      <c r="S69" s="361"/>
      <c r="T69" s="361"/>
      <c r="U69" s="361"/>
      <c r="V69" s="361"/>
      <c r="W69" s="361"/>
      <c r="X69" s="361"/>
      <c r="Y69" s="362"/>
      <c r="Z69" s="362"/>
      <c r="AA69" s="362"/>
      <c r="AB69" s="362"/>
      <c r="AC69" s="390"/>
      <c r="AD69" s="354"/>
      <c r="AE69" s="354"/>
      <c r="AF69" s="357"/>
      <c r="AG69" s="354"/>
      <c r="AH69" s="380"/>
      <c r="AI69" s="354"/>
      <c r="AJ69" s="357"/>
      <c r="AK69" s="354"/>
      <c r="AL69" s="369"/>
      <c r="AM69" s="354"/>
      <c r="AN69" s="357"/>
      <c r="AO69" s="354"/>
      <c r="AP69" s="354"/>
      <c r="AQ69" s="357"/>
      <c r="AR69" s="354"/>
      <c r="AS69" s="358"/>
      <c r="AT69" s="362"/>
      <c r="AU69" s="362"/>
      <c r="AV69" s="361"/>
      <c r="AW69" s="361"/>
      <c r="AX69" s="392"/>
      <c r="AY69" s="392"/>
      <c r="AZ69" s="392"/>
      <c r="BA69" s="392"/>
      <c r="BB69" s="392"/>
      <c r="BC69" s="392"/>
      <c r="BD69" s="359"/>
      <c r="BE69" s="392"/>
      <c r="BF69" s="392"/>
      <c r="BG69" s="359"/>
      <c r="BH69" s="357"/>
      <c r="BI69" s="354"/>
      <c r="BJ69" s="354"/>
      <c r="BK69" s="359"/>
      <c r="BL69" s="359"/>
      <c r="BM69" s="359"/>
      <c r="BN69" s="392"/>
      <c r="BO69" s="392"/>
      <c r="BP69" s="392"/>
      <c r="BQ69" s="392"/>
      <c r="BR69" s="392"/>
      <c r="BS69" s="392"/>
      <c r="BT69" s="361"/>
      <c r="BU69" s="392"/>
      <c r="BV69" s="361"/>
      <c r="BW69" s="361"/>
      <c r="BX69" s="361"/>
      <c r="BY69" s="354"/>
      <c r="BZ69" s="354"/>
      <c r="CA69" s="377"/>
      <c r="CB69" s="391"/>
      <c r="CC69" s="354"/>
      <c r="CD69" s="354"/>
      <c r="CE69" s="354"/>
      <c r="CF69" s="377"/>
      <c r="CG69" s="377"/>
      <c r="CH69" s="377"/>
      <c r="CI69" s="377"/>
      <c r="CJ69" s="377"/>
      <c r="CK69" s="377"/>
      <c r="CL69" s="377"/>
      <c r="CM69" s="377"/>
      <c r="CN69" s="377"/>
      <c r="CO69" s="377"/>
      <c r="CP69" s="377"/>
      <c r="CQ69" s="377"/>
      <c r="CR69" s="377"/>
      <c r="CS69" s="354"/>
      <c r="CT69" s="354"/>
      <c r="CU69" s="354"/>
      <c r="CV69" s="354"/>
      <c r="CW69" s="377"/>
      <c r="CX69" s="377"/>
      <c r="CY69" s="377"/>
      <c r="CZ69" s="377"/>
      <c r="DA69" s="377"/>
      <c r="DB69" s="377"/>
      <c r="DC69" s="377"/>
      <c r="DD69" s="377"/>
      <c r="DE69" s="377"/>
      <c r="DF69" s="377"/>
      <c r="DG69" s="377"/>
      <c r="DH69" s="377"/>
      <c r="DI69" s="377"/>
      <c r="DJ69" s="377"/>
      <c r="DK69" s="354"/>
      <c r="DL69" s="362"/>
      <c r="DM69" s="362"/>
      <c r="DN69" s="354"/>
      <c r="DO69" s="354"/>
      <c r="DP69" s="377"/>
      <c r="DQ69" s="377"/>
      <c r="DR69" s="377"/>
      <c r="DS69" s="377"/>
      <c r="DT69" s="377"/>
      <c r="DU69" s="377"/>
      <c r="DV69" s="377"/>
      <c r="DW69" s="354"/>
      <c r="DX69" s="355"/>
      <c r="DY69" s="362"/>
      <c r="DZ69" s="355"/>
      <c r="EA69" s="361"/>
      <c r="EB69" s="361"/>
      <c r="EC69" s="361"/>
      <c r="ED69" s="361"/>
      <c r="EE69" s="364"/>
      <c r="EF69" s="357"/>
      <c r="EG69" s="359"/>
      <c r="EH69" s="358"/>
      <c r="EI69" s="358"/>
      <c r="EJ69" s="359"/>
      <c r="EK69" s="355"/>
      <c r="EL69" s="358"/>
      <c r="EM69" s="359"/>
      <c r="EN69" s="359"/>
      <c r="EO69" s="358"/>
      <c r="EP69" s="359"/>
      <c r="EQ69" s="362"/>
      <c r="ER69" s="361"/>
      <c r="ES69" s="355"/>
      <c r="ET69" s="360"/>
      <c r="EU69" s="355"/>
      <c r="EV69" s="362"/>
      <c r="EW69" s="361"/>
      <c r="EX69" s="358"/>
      <c r="EY69" s="362"/>
      <c r="EZ69" s="361"/>
      <c r="FA69" s="362"/>
      <c r="FB69" s="361"/>
      <c r="FC69" s="359"/>
      <c r="FD69" s="359"/>
      <c r="FE69" s="358"/>
      <c r="FF69" s="355"/>
      <c r="FG69" s="358"/>
      <c r="FH69" s="362"/>
      <c r="FI69" s="362"/>
      <c r="FJ69" s="361"/>
      <c r="FK69" s="362"/>
      <c r="FL69" s="362"/>
      <c r="FM69" s="362"/>
      <c r="FN69" s="361"/>
      <c r="FO69" s="362"/>
      <c r="FP69" s="362"/>
      <c r="FQ69" s="362"/>
      <c r="FR69" s="362"/>
      <c r="FS69" s="362"/>
      <c r="FT69" s="362"/>
      <c r="FU69" s="361"/>
      <c r="FV69" s="361"/>
      <c r="FW69" s="360"/>
      <c r="FX69" s="360"/>
      <c r="FY69" s="360"/>
      <c r="FZ69" s="356"/>
      <c r="GA69" s="364"/>
      <c r="GB69" s="364"/>
      <c r="GC69" s="364"/>
      <c r="GD69" s="374"/>
      <c r="GE69" s="374"/>
      <c r="GF69" s="374"/>
      <c r="GG69" s="364"/>
      <c r="GH69" s="374"/>
      <c r="GI69" s="364"/>
      <c r="GJ69" s="374"/>
      <c r="GK69" s="374"/>
      <c r="GL69" s="374"/>
      <c r="GM69" s="364"/>
      <c r="GN69" s="356"/>
      <c r="GO69" s="364"/>
      <c r="GP69" s="364"/>
      <c r="GQ69" s="385"/>
      <c r="GR69" s="364"/>
    </row>
    <row r="70" spans="1:200" ht="13.5" customHeight="1" x14ac:dyDescent="0.2">
      <c r="A70" s="362"/>
      <c r="B70" s="362"/>
      <c r="C70" s="358"/>
      <c r="D70" s="359"/>
      <c r="E70" s="360"/>
      <c r="F70" s="361"/>
      <c r="G70" s="355"/>
      <c r="H70" s="361"/>
      <c r="I70" s="355"/>
      <c r="J70" s="361"/>
      <c r="K70" s="387"/>
      <c r="L70" s="362"/>
      <c r="M70" s="362"/>
      <c r="N70" s="362"/>
      <c r="O70" s="359"/>
      <c r="P70" s="359"/>
      <c r="Q70" s="358"/>
      <c r="R70" s="359"/>
      <c r="S70" s="362"/>
      <c r="T70" s="362"/>
      <c r="U70" s="361"/>
      <c r="V70" s="362"/>
      <c r="W70" s="362"/>
      <c r="X70" s="361"/>
      <c r="Y70" s="362"/>
      <c r="Z70" s="362"/>
      <c r="AA70" s="362"/>
      <c r="AB70" s="362"/>
      <c r="AC70" s="390"/>
      <c r="AD70" s="380"/>
      <c r="AE70" s="354"/>
      <c r="AF70" s="357"/>
      <c r="AG70" s="354"/>
      <c r="AH70" s="380"/>
      <c r="AI70" s="354"/>
      <c r="AJ70" s="357"/>
      <c r="AK70" s="357"/>
      <c r="AL70" s="380"/>
      <c r="AM70" s="354"/>
      <c r="AN70" s="357"/>
      <c r="AO70" s="354"/>
      <c r="AP70" s="354"/>
      <c r="AQ70" s="357"/>
      <c r="AR70" s="354"/>
      <c r="AS70" s="358"/>
      <c r="AT70" s="357"/>
      <c r="AU70" s="357"/>
      <c r="AV70" s="361"/>
      <c r="AW70" s="392"/>
      <c r="AX70" s="392"/>
      <c r="AY70" s="354"/>
      <c r="AZ70" s="354"/>
      <c r="BA70" s="359"/>
      <c r="BB70" s="392"/>
      <c r="BC70" s="361"/>
      <c r="BD70" s="392"/>
      <c r="BE70" s="392"/>
      <c r="BF70" s="359"/>
      <c r="BG70" s="357"/>
      <c r="BH70" s="354"/>
      <c r="BI70" s="354"/>
      <c r="BJ70" s="359"/>
      <c r="BK70" s="359"/>
      <c r="BL70" s="392"/>
      <c r="BM70" s="392"/>
      <c r="BN70" s="392"/>
      <c r="BO70" s="392"/>
      <c r="BP70" s="392"/>
      <c r="BQ70" s="392"/>
      <c r="BR70" s="392"/>
      <c r="BS70" s="361"/>
      <c r="BT70" s="361"/>
      <c r="BU70" s="361"/>
      <c r="BV70" s="361"/>
      <c r="BW70" s="392"/>
      <c r="BX70" s="355"/>
      <c r="BY70" s="354"/>
      <c r="BZ70" s="377"/>
      <c r="CA70" s="377"/>
      <c r="CB70" s="377"/>
      <c r="CC70" s="391"/>
      <c r="CD70" s="377"/>
      <c r="CE70" s="354"/>
      <c r="CF70" s="377"/>
      <c r="CG70" s="377"/>
      <c r="CH70" s="377"/>
      <c r="CI70" s="377"/>
      <c r="CJ70" s="377"/>
      <c r="CK70" s="377"/>
      <c r="CL70" s="377"/>
      <c r="CM70" s="377"/>
      <c r="CN70" s="377"/>
      <c r="CO70" s="377"/>
      <c r="CP70" s="377"/>
      <c r="CQ70" s="377"/>
      <c r="CR70" s="377"/>
      <c r="CS70" s="354"/>
      <c r="CT70" s="354"/>
      <c r="CU70" s="354"/>
      <c r="CV70" s="377"/>
      <c r="CW70" s="377"/>
      <c r="CX70" s="377"/>
      <c r="CY70" s="377"/>
      <c r="CZ70" s="377"/>
      <c r="DA70" s="377"/>
      <c r="DB70" s="377"/>
      <c r="DC70" s="377"/>
      <c r="DD70" s="377"/>
      <c r="DE70" s="377"/>
      <c r="DF70" s="377"/>
      <c r="DG70" s="377"/>
      <c r="DH70" s="377"/>
      <c r="DI70" s="391"/>
      <c r="DJ70" s="377"/>
      <c r="DK70" s="354"/>
      <c r="DL70" s="362"/>
      <c r="DM70" s="361"/>
      <c r="DN70" s="354"/>
      <c r="DO70" s="356"/>
      <c r="DP70" s="354"/>
      <c r="DQ70" s="377"/>
      <c r="DR70" s="377"/>
      <c r="DS70" s="377"/>
      <c r="DT70" s="377"/>
      <c r="DU70" s="377"/>
      <c r="DV70" s="377"/>
      <c r="DW70" s="354"/>
      <c r="DX70" s="361"/>
      <c r="DY70" s="361"/>
      <c r="DZ70" s="361"/>
      <c r="EA70" s="359"/>
      <c r="EB70" s="359"/>
      <c r="EC70" s="359"/>
      <c r="ED70" s="362"/>
      <c r="EE70" s="362"/>
      <c r="EF70" s="362"/>
      <c r="EG70" s="362"/>
      <c r="EH70" s="362"/>
      <c r="EI70" s="362"/>
      <c r="EJ70" s="362"/>
      <c r="EK70" s="359"/>
      <c r="EL70" s="359"/>
      <c r="EM70" s="358"/>
      <c r="EN70" s="359"/>
      <c r="EO70" s="359"/>
      <c r="EP70" s="358"/>
      <c r="EQ70" s="359"/>
      <c r="ER70" s="360"/>
      <c r="ES70" s="361"/>
      <c r="ET70" s="361"/>
      <c r="EU70" s="360"/>
      <c r="EV70" s="362"/>
      <c r="EW70" s="362"/>
      <c r="EX70" s="362"/>
      <c r="EY70" s="362"/>
      <c r="EZ70" s="361"/>
      <c r="FA70" s="362"/>
      <c r="FB70" s="361"/>
      <c r="FC70" s="359"/>
      <c r="FD70" s="359"/>
      <c r="FE70" s="359"/>
      <c r="FF70" s="362"/>
      <c r="FG70" s="362"/>
      <c r="FH70" s="358"/>
      <c r="FI70" s="362"/>
      <c r="FJ70" s="361"/>
      <c r="FK70" s="361"/>
      <c r="FL70" s="361"/>
      <c r="FM70" s="361"/>
      <c r="FN70" s="362"/>
      <c r="FO70" s="362"/>
      <c r="FP70" s="362"/>
      <c r="FQ70" s="362"/>
      <c r="FR70" s="362"/>
      <c r="FS70" s="362"/>
      <c r="FT70" s="364"/>
      <c r="FU70" s="360"/>
      <c r="FV70" s="360"/>
      <c r="FW70" s="361"/>
      <c r="FX70" s="360"/>
      <c r="FY70" s="360"/>
      <c r="FZ70" s="364"/>
      <c r="GA70" s="364"/>
      <c r="GB70" s="364"/>
      <c r="GC70" s="364"/>
      <c r="GD70" s="374"/>
      <c r="GE70" s="374"/>
      <c r="GF70" s="364"/>
      <c r="GG70" s="374"/>
      <c r="GH70" s="374"/>
      <c r="GI70" s="374"/>
      <c r="GJ70" s="374"/>
      <c r="GK70" s="374"/>
      <c r="GL70" s="364"/>
      <c r="GM70" s="356"/>
      <c r="GN70" s="364"/>
      <c r="GO70" s="364"/>
      <c r="GP70" s="364"/>
      <c r="GQ70" s="364"/>
      <c r="GR70" s="364"/>
    </row>
    <row r="71" spans="1:200" ht="13.5" customHeight="1" x14ac:dyDescent="0.2">
      <c r="A71" s="362"/>
      <c r="B71" s="362"/>
      <c r="C71" s="362"/>
      <c r="D71" s="361"/>
      <c r="E71" s="361"/>
      <c r="F71" s="364"/>
      <c r="G71" s="364"/>
      <c r="H71" s="364"/>
      <c r="I71" s="355"/>
      <c r="J71" s="355"/>
      <c r="K71" s="387"/>
      <c r="L71" s="387"/>
      <c r="M71" s="362"/>
      <c r="N71" s="359"/>
      <c r="O71" s="362"/>
      <c r="P71" s="362"/>
      <c r="Q71" s="362"/>
      <c r="R71" s="362"/>
      <c r="S71" s="362"/>
      <c r="T71" s="362"/>
      <c r="U71" s="362"/>
      <c r="V71" s="361"/>
      <c r="W71" s="362"/>
      <c r="X71" s="361"/>
      <c r="Y71" s="362"/>
      <c r="Z71" s="355"/>
      <c r="AA71" s="355"/>
      <c r="AB71" s="362"/>
      <c r="AC71" s="357"/>
      <c r="AD71" s="357"/>
      <c r="AE71" s="354"/>
      <c r="AF71" s="354"/>
      <c r="AG71" s="354"/>
      <c r="AH71" s="380"/>
      <c r="AI71" s="354"/>
      <c r="AJ71" s="357"/>
      <c r="AK71" s="357"/>
      <c r="AL71" s="369"/>
      <c r="AM71" s="354"/>
      <c r="AN71" s="354"/>
      <c r="AO71" s="354"/>
      <c r="AP71" s="354"/>
      <c r="AQ71" s="357"/>
      <c r="AR71" s="354"/>
      <c r="AS71" s="358"/>
      <c r="AT71" s="357"/>
      <c r="AU71" s="357"/>
      <c r="AV71" s="392"/>
      <c r="AW71" s="392"/>
      <c r="AX71" s="357"/>
      <c r="AY71" s="358"/>
      <c r="AZ71" s="359"/>
      <c r="BA71" s="357"/>
      <c r="BB71" s="392"/>
      <c r="BC71" s="392"/>
      <c r="BD71" s="392"/>
      <c r="BE71" s="392"/>
      <c r="BF71" s="359"/>
      <c r="BG71" s="359"/>
      <c r="BH71" s="358"/>
      <c r="BI71" s="359"/>
      <c r="BJ71" s="359"/>
      <c r="BK71" s="392"/>
      <c r="BL71" s="392"/>
      <c r="BM71" s="392"/>
      <c r="BN71" s="359"/>
      <c r="BO71" s="392"/>
      <c r="BP71" s="392"/>
      <c r="BQ71" s="392"/>
      <c r="BR71" s="392"/>
      <c r="BS71" s="361"/>
      <c r="BT71" s="361"/>
      <c r="BU71" s="361"/>
      <c r="BV71" s="361"/>
      <c r="BW71" s="361"/>
      <c r="BX71" s="354"/>
      <c r="BY71" s="354"/>
      <c r="BZ71" s="377"/>
      <c r="CA71" s="377"/>
      <c r="CB71" s="377"/>
      <c r="CC71" s="377"/>
      <c r="CD71" s="377"/>
      <c r="CE71" s="377"/>
      <c r="CF71" s="377"/>
      <c r="CG71" s="377"/>
      <c r="CH71" s="377"/>
      <c r="CI71" s="377"/>
      <c r="CJ71" s="377"/>
      <c r="CK71" s="377"/>
      <c r="CL71" s="377"/>
      <c r="CM71" s="377"/>
      <c r="CN71" s="377"/>
      <c r="CO71" s="377"/>
      <c r="CP71" s="377"/>
      <c r="CQ71" s="377"/>
      <c r="CR71" s="377"/>
      <c r="CS71" s="385"/>
      <c r="CT71" s="354"/>
      <c r="CU71" s="377"/>
      <c r="CV71" s="391"/>
      <c r="CW71" s="377"/>
      <c r="CX71" s="391"/>
      <c r="CY71" s="377"/>
      <c r="CZ71" s="391"/>
      <c r="DA71" s="377"/>
      <c r="DB71" s="377"/>
      <c r="DC71" s="377"/>
      <c r="DD71" s="377"/>
      <c r="DE71" s="377"/>
      <c r="DF71" s="377"/>
      <c r="DG71" s="377"/>
      <c r="DH71" s="377"/>
      <c r="DI71" s="377"/>
      <c r="DJ71" s="377"/>
      <c r="DK71" s="354"/>
      <c r="DL71" s="354"/>
      <c r="DM71" s="357"/>
      <c r="DN71" s="354"/>
      <c r="DO71" s="354"/>
      <c r="DP71" s="354"/>
      <c r="DQ71" s="354"/>
      <c r="DR71" s="377"/>
      <c r="DS71" s="377"/>
      <c r="DT71" s="377"/>
      <c r="DU71" s="377"/>
      <c r="DV71" s="377"/>
      <c r="DW71" s="354"/>
      <c r="DX71" s="355"/>
      <c r="DY71" s="358"/>
      <c r="DZ71" s="358"/>
      <c r="EA71" s="359"/>
      <c r="EB71" s="362"/>
      <c r="EC71" s="362"/>
      <c r="ED71" s="362"/>
      <c r="EE71" s="362"/>
      <c r="EF71" s="362"/>
      <c r="EG71" s="362"/>
      <c r="EH71" s="362"/>
      <c r="EI71" s="362"/>
      <c r="EJ71" s="362"/>
      <c r="EK71" s="362"/>
      <c r="EL71" s="359"/>
      <c r="EM71" s="359"/>
      <c r="EN71" s="358"/>
      <c r="EO71" s="359"/>
      <c r="EP71" s="359"/>
      <c r="EQ71" s="359"/>
      <c r="ER71" s="359"/>
      <c r="ES71" s="360"/>
      <c r="ET71" s="361"/>
      <c r="EU71" s="360"/>
      <c r="EV71" s="362"/>
      <c r="EW71" s="362"/>
      <c r="EX71" s="362"/>
      <c r="EY71" s="362"/>
      <c r="EZ71" s="362"/>
      <c r="FA71" s="361"/>
      <c r="FB71" s="362"/>
      <c r="FC71" s="361"/>
      <c r="FD71" s="359"/>
      <c r="FE71" s="358"/>
      <c r="FF71" s="359"/>
      <c r="FG71" s="362"/>
      <c r="FH71" s="362"/>
      <c r="FI71" s="362"/>
      <c r="FJ71" s="362"/>
      <c r="FK71" s="361"/>
      <c r="FL71" s="361"/>
      <c r="FM71" s="362"/>
      <c r="FN71" s="361"/>
      <c r="FO71" s="362"/>
      <c r="FP71" s="362"/>
      <c r="FQ71" s="362"/>
      <c r="FR71" s="360"/>
      <c r="FS71" s="360"/>
      <c r="FT71" s="364"/>
      <c r="FU71" s="364"/>
      <c r="FV71" s="360"/>
      <c r="FW71" s="364"/>
      <c r="FX71" s="360"/>
      <c r="FY71" s="364"/>
      <c r="FZ71" s="364"/>
      <c r="GA71" s="360"/>
      <c r="GB71" s="360"/>
      <c r="GC71" s="374"/>
      <c r="GD71" s="374"/>
      <c r="GE71" s="364"/>
      <c r="GF71" s="385"/>
      <c r="GG71" s="374"/>
      <c r="GH71" s="374"/>
      <c r="GI71" s="374"/>
      <c r="GJ71" s="374"/>
      <c r="GK71" s="374"/>
      <c r="GL71" s="363"/>
      <c r="GM71" s="364"/>
      <c r="GN71" s="385"/>
      <c r="GO71" s="364"/>
      <c r="GP71" s="364"/>
      <c r="GQ71" s="364"/>
      <c r="GR71" s="385"/>
    </row>
    <row r="72" spans="1:200" ht="13.5" customHeight="1" x14ac:dyDescent="0.2">
      <c r="A72" s="358"/>
      <c r="B72" s="358"/>
      <c r="C72" s="362"/>
      <c r="D72" s="362"/>
      <c r="E72" s="355"/>
      <c r="F72" s="385"/>
      <c r="G72" s="364"/>
      <c r="H72" s="374"/>
      <c r="I72" s="364"/>
      <c r="J72" s="355"/>
      <c r="K72" s="361"/>
      <c r="L72" s="362"/>
      <c r="M72" s="362"/>
      <c r="N72" s="359"/>
      <c r="O72" s="359"/>
      <c r="P72" s="359"/>
      <c r="Q72" s="362"/>
      <c r="R72" s="362"/>
      <c r="S72" s="362"/>
      <c r="T72" s="362"/>
      <c r="U72" s="362"/>
      <c r="V72" s="361"/>
      <c r="W72" s="355"/>
      <c r="X72" s="355"/>
      <c r="Y72" s="360"/>
      <c r="Z72" s="363"/>
      <c r="AA72" s="363"/>
      <c r="AB72" s="355"/>
      <c r="AC72" s="357"/>
      <c r="AD72" s="357"/>
      <c r="AE72" s="354"/>
      <c r="AF72" s="354"/>
      <c r="AG72" s="354"/>
      <c r="AH72" s="354"/>
      <c r="AI72" s="354"/>
      <c r="AJ72" s="357"/>
      <c r="AK72" s="354"/>
      <c r="AL72" s="380"/>
      <c r="AM72" s="354"/>
      <c r="AN72" s="354"/>
      <c r="AO72" s="354"/>
      <c r="AP72" s="354"/>
      <c r="AQ72" s="357"/>
      <c r="AR72" s="354"/>
      <c r="AS72" s="359"/>
      <c r="AT72" s="359"/>
      <c r="AU72" s="380"/>
      <c r="AV72" s="392"/>
      <c r="AW72" s="359"/>
      <c r="AX72" s="392"/>
      <c r="AY72" s="359"/>
      <c r="AZ72" s="354"/>
      <c r="BA72" s="357"/>
      <c r="BB72" s="392"/>
      <c r="BC72" s="392"/>
      <c r="BD72" s="392"/>
      <c r="BE72" s="359"/>
      <c r="BF72" s="359"/>
      <c r="BG72" s="358"/>
      <c r="BH72" s="359"/>
      <c r="BI72" s="392"/>
      <c r="BJ72" s="392"/>
      <c r="BK72" s="392"/>
      <c r="BL72" s="392"/>
      <c r="BM72" s="392"/>
      <c r="BN72" s="392"/>
      <c r="BO72" s="392"/>
      <c r="BP72" s="392"/>
      <c r="BQ72" s="392"/>
      <c r="BR72" s="392"/>
      <c r="BS72" s="387"/>
      <c r="BT72" s="387"/>
      <c r="BU72" s="361"/>
      <c r="BV72" s="361"/>
      <c r="BW72" s="361"/>
      <c r="BX72" s="354"/>
      <c r="BY72" s="391"/>
      <c r="BZ72" s="377"/>
      <c r="CA72" s="377"/>
      <c r="CB72" s="377"/>
      <c r="CC72" s="377"/>
      <c r="CD72" s="377"/>
      <c r="CE72" s="377"/>
      <c r="CF72" s="377"/>
      <c r="CG72" s="377"/>
      <c r="CH72" s="377"/>
      <c r="CI72" s="377"/>
      <c r="CJ72" s="377"/>
      <c r="CK72" s="377"/>
      <c r="CL72" s="377"/>
      <c r="CM72" s="377"/>
      <c r="CN72" s="377"/>
      <c r="CO72" s="356"/>
      <c r="CP72" s="377"/>
      <c r="CQ72" s="377"/>
      <c r="CR72" s="377"/>
      <c r="CS72" s="377"/>
      <c r="CT72" s="354"/>
      <c r="CU72" s="377"/>
      <c r="CV72" s="377"/>
      <c r="CW72" s="377"/>
      <c r="CX72" s="391"/>
      <c r="CY72" s="354"/>
      <c r="CZ72" s="354"/>
      <c r="DA72" s="354"/>
      <c r="DB72" s="354"/>
      <c r="DC72" s="354"/>
      <c r="DD72" s="354"/>
      <c r="DE72" s="354"/>
      <c r="DF72" s="354"/>
      <c r="DG72" s="354"/>
      <c r="DH72" s="391"/>
      <c r="DI72" s="391"/>
      <c r="DJ72" s="391"/>
      <c r="DK72" s="377"/>
      <c r="DL72" s="377"/>
      <c r="DM72" s="377"/>
      <c r="DN72" s="377"/>
      <c r="DO72" s="354"/>
      <c r="DP72" s="354"/>
      <c r="DQ72" s="354"/>
      <c r="DR72" s="377"/>
      <c r="DS72" s="377"/>
      <c r="DT72" s="377"/>
      <c r="DU72" s="377"/>
      <c r="DV72" s="377"/>
      <c r="DW72" s="377"/>
      <c r="DX72" s="354"/>
      <c r="DY72" s="361"/>
      <c r="DZ72" s="362"/>
      <c r="EA72" s="362"/>
      <c r="EB72" s="362"/>
      <c r="EC72" s="362"/>
      <c r="ED72" s="362"/>
      <c r="EE72" s="362"/>
      <c r="EF72" s="362"/>
      <c r="EG72" s="362"/>
      <c r="EH72" s="362"/>
      <c r="EI72" s="362"/>
      <c r="EJ72" s="355"/>
      <c r="EK72" s="355"/>
      <c r="EL72" s="358"/>
      <c r="EM72" s="358"/>
      <c r="EN72" s="359"/>
      <c r="EO72" s="358"/>
      <c r="EP72" s="359"/>
      <c r="EQ72" s="358"/>
      <c r="ER72" s="359"/>
      <c r="ES72" s="359"/>
      <c r="ET72" s="361"/>
      <c r="EU72" s="361"/>
      <c r="EV72" s="360"/>
      <c r="EW72" s="362"/>
      <c r="EX72" s="355"/>
      <c r="EY72" s="362"/>
      <c r="EZ72" s="362"/>
      <c r="FA72" s="362"/>
      <c r="FB72" s="362"/>
      <c r="FC72" s="361"/>
      <c r="FD72" s="359"/>
      <c r="FE72" s="358"/>
      <c r="FF72" s="358"/>
      <c r="FG72" s="362"/>
      <c r="FH72" s="358"/>
      <c r="FI72" s="362"/>
      <c r="FJ72" s="362"/>
      <c r="FK72" s="362"/>
      <c r="FL72" s="362"/>
      <c r="FM72" s="361"/>
      <c r="FN72" s="362"/>
      <c r="FO72" s="362"/>
      <c r="FP72" s="356"/>
      <c r="FQ72" s="364"/>
      <c r="FR72" s="364"/>
      <c r="FS72" s="364"/>
      <c r="FT72" s="374"/>
      <c r="FU72" s="374"/>
      <c r="FV72" s="364"/>
      <c r="FW72" s="364"/>
      <c r="FX72" s="360"/>
      <c r="FY72" s="360"/>
      <c r="FZ72" s="360"/>
      <c r="GA72" s="360"/>
      <c r="GB72" s="364"/>
      <c r="GC72" s="374"/>
      <c r="GD72" s="374"/>
      <c r="GE72" s="374"/>
      <c r="GF72" s="374"/>
      <c r="GG72" s="364"/>
      <c r="GH72" s="364"/>
      <c r="GI72" s="374"/>
      <c r="GJ72" s="374"/>
      <c r="GK72" s="374"/>
      <c r="GL72" s="374"/>
      <c r="GM72" s="374"/>
      <c r="GN72" s="364"/>
      <c r="GO72" s="364"/>
      <c r="GP72" s="364"/>
      <c r="GQ72" s="364"/>
      <c r="GR72" s="364"/>
    </row>
    <row r="73" spans="1:200" ht="13.5" customHeight="1" x14ac:dyDescent="0.2">
      <c r="A73" s="358"/>
      <c r="B73" s="358"/>
      <c r="C73" s="362"/>
      <c r="D73" s="355"/>
      <c r="E73" s="385"/>
      <c r="F73" s="364"/>
      <c r="G73" s="363"/>
      <c r="H73" s="364"/>
      <c r="I73" s="385"/>
      <c r="J73" s="385"/>
      <c r="K73" s="362"/>
      <c r="L73" s="362"/>
      <c r="M73" s="362"/>
      <c r="N73" s="362"/>
      <c r="O73" s="359"/>
      <c r="P73" s="359"/>
      <c r="Q73" s="362"/>
      <c r="R73" s="362"/>
      <c r="S73" s="362"/>
      <c r="T73" s="361"/>
      <c r="U73" s="362"/>
      <c r="V73" s="362"/>
      <c r="W73" s="363"/>
      <c r="X73" s="363"/>
      <c r="Y73" s="363"/>
      <c r="Z73" s="363"/>
      <c r="AA73" s="356"/>
      <c r="AB73" s="356"/>
      <c r="AC73" s="363"/>
      <c r="AD73" s="357"/>
      <c r="AE73" s="380"/>
      <c r="AF73" s="354"/>
      <c r="AG73" s="354"/>
      <c r="AH73" s="354"/>
      <c r="AI73" s="390"/>
      <c r="AJ73" s="354"/>
      <c r="AK73" s="354"/>
      <c r="AL73" s="380"/>
      <c r="AM73" s="390"/>
      <c r="AN73" s="354"/>
      <c r="AO73" s="357"/>
      <c r="AP73" s="354"/>
      <c r="AQ73" s="357"/>
      <c r="AR73" s="357"/>
      <c r="AS73" s="354"/>
      <c r="AT73" s="357"/>
      <c r="AU73" s="357"/>
      <c r="AV73" s="392"/>
      <c r="AW73" s="392"/>
      <c r="AX73" s="357"/>
      <c r="AY73" s="354"/>
      <c r="AZ73" s="357"/>
      <c r="BA73" s="392"/>
      <c r="BB73" s="392"/>
      <c r="BC73" s="359"/>
      <c r="BD73" s="359"/>
      <c r="BE73" s="392"/>
      <c r="BF73" s="359"/>
      <c r="BG73" s="359"/>
      <c r="BH73" s="392"/>
      <c r="BI73" s="392"/>
      <c r="BJ73" s="392"/>
      <c r="BK73" s="392"/>
      <c r="BL73" s="392"/>
      <c r="BM73" s="392"/>
      <c r="BN73" s="392"/>
      <c r="BO73" s="392"/>
      <c r="BP73" s="392"/>
      <c r="BQ73" s="392"/>
      <c r="BR73" s="392"/>
      <c r="BS73" s="361"/>
      <c r="BT73" s="361"/>
      <c r="BU73" s="361"/>
      <c r="BV73" s="361"/>
      <c r="BW73" s="361"/>
      <c r="BX73" s="354"/>
      <c r="BY73" s="391"/>
      <c r="BZ73" s="377"/>
      <c r="CA73" s="377"/>
      <c r="CB73" s="377"/>
      <c r="CC73" s="377"/>
      <c r="CD73" s="377"/>
      <c r="CE73" s="377"/>
      <c r="CF73" s="377"/>
      <c r="CG73" s="377"/>
      <c r="CH73" s="377"/>
      <c r="CI73" s="377"/>
      <c r="CJ73" s="377"/>
      <c r="CK73" s="377"/>
      <c r="CL73" s="377"/>
      <c r="CM73" s="377"/>
      <c r="CN73" s="377"/>
      <c r="CO73" s="377"/>
      <c r="CP73" s="377"/>
      <c r="CQ73" s="377"/>
      <c r="CR73" s="377"/>
      <c r="CS73" s="354"/>
      <c r="CT73" s="354"/>
      <c r="CU73" s="377"/>
      <c r="CV73" s="377"/>
      <c r="CW73" s="377"/>
      <c r="CX73" s="377"/>
      <c r="CY73" s="377"/>
      <c r="CZ73" s="391"/>
      <c r="DA73" s="377"/>
      <c r="DB73" s="377"/>
      <c r="DC73" s="377"/>
      <c r="DD73" s="377"/>
      <c r="DE73" s="377"/>
      <c r="DF73" s="377"/>
      <c r="DG73" s="354"/>
      <c r="DH73" s="354"/>
      <c r="DI73" s="377"/>
      <c r="DJ73" s="377"/>
      <c r="DK73" s="377"/>
      <c r="DL73" s="377"/>
      <c r="DM73" s="377"/>
      <c r="DN73" s="391"/>
      <c r="DO73" s="391"/>
      <c r="DP73" s="391"/>
      <c r="DQ73" s="377"/>
      <c r="DR73" s="377"/>
      <c r="DS73" s="377"/>
      <c r="DT73" s="377"/>
      <c r="DU73" s="377"/>
      <c r="DV73" s="377"/>
      <c r="DW73" s="377"/>
      <c r="DX73" s="354"/>
      <c r="DY73" s="362"/>
      <c r="DZ73" s="362"/>
      <c r="EA73" s="361"/>
      <c r="EB73" s="362"/>
      <c r="EC73" s="362"/>
      <c r="ED73" s="362"/>
      <c r="EE73" s="361"/>
      <c r="EF73" s="361"/>
      <c r="EG73" s="362"/>
      <c r="EH73" s="362"/>
      <c r="EI73" s="362"/>
      <c r="EJ73" s="355"/>
      <c r="EK73" s="355"/>
      <c r="EL73" s="355"/>
      <c r="EM73" s="362"/>
      <c r="EN73" s="359"/>
      <c r="EO73" s="359"/>
      <c r="EP73" s="362"/>
      <c r="EQ73" s="358"/>
      <c r="ER73" s="361"/>
      <c r="ES73" s="358"/>
      <c r="ET73" s="360"/>
      <c r="EU73" s="361"/>
      <c r="EV73" s="361"/>
      <c r="EW73" s="362"/>
      <c r="EX73" s="362"/>
      <c r="EY73" s="355"/>
      <c r="EZ73" s="362"/>
      <c r="FA73" s="362"/>
      <c r="FB73" s="362"/>
      <c r="FC73" s="362"/>
      <c r="FD73" s="359"/>
      <c r="FE73" s="359"/>
      <c r="FF73" s="358"/>
      <c r="FG73" s="362"/>
      <c r="FH73" s="362"/>
      <c r="FI73" s="362"/>
      <c r="FJ73" s="362"/>
      <c r="FK73" s="362"/>
      <c r="FL73" s="355"/>
      <c r="FM73" s="355"/>
      <c r="FN73" s="361"/>
      <c r="FO73" s="355"/>
      <c r="FP73" s="364"/>
      <c r="FQ73" s="374"/>
      <c r="FR73" s="374"/>
      <c r="FS73" s="364"/>
      <c r="FT73" s="364"/>
      <c r="FU73" s="364"/>
      <c r="FV73" s="364"/>
      <c r="FW73" s="364"/>
      <c r="FX73" s="360"/>
      <c r="FY73" s="360"/>
      <c r="FZ73" s="385"/>
      <c r="GA73" s="374"/>
      <c r="GB73" s="374"/>
      <c r="GC73" s="374"/>
      <c r="GD73" s="374"/>
      <c r="GE73" s="374"/>
      <c r="GF73" s="364"/>
      <c r="GG73" s="364"/>
      <c r="GH73" s="385"/>
      <c r="GI73" s="374"/>
      <c r="GJ73" s="374"/>
      <c r="GK73" s="374"/>
      <c r="GL73" s="374"/>
      <c r="GM73" s="374"/>
      <c r="GN73" s="374"/>
      <c r="GO73" s="364"/>
      <c r="GP73" s="364"/>
      <c r="GQ73" s="364"/>
      <c r="GR73" s="364"/>
    </row>
    <row r="74" spans="1:200" ht="13.5" customHeight="1" x14ac:dyDescent="0.2">
      <c r="A74" s="362"/>
      <c r="B74" s="362"/>
      <c r="C74" s="362"/>
      <c r="D74" s="356"/>
      <c r="E74" s="364"/>
      <c r="F74" s="364"/>
      <c r="G74" s="364"/>
      <c r="H74" s="363"/>
      <c r="I74" s="364"/>
      <c r="J74" s="364"/>
      <c r="K74" s="356"/>
      <c r="L74" s="362"/>
      <c r="M74" s="362"/>
      <c r="N74" s="362"/>
      <c r="O74" s="362"/>
      <c r="P74" s="362"/>
      <c r="Q74" s="362"/>
      <c r="R74" s="362"/>
      <c r="S74" s="361"/>
      <c r="T74" s="361"/>
      <c r="U74" s="355"/>
      <c r="V74" s="364"/>
      <c r="W74" s="363"/>
      <c r="X74" s="363"/>
      <c r="Y74" s="388"/>
      <c r="Z74" s="363"/>
      <c r="AA74" s="356"/>
      <c r="AB74" s="363"/>
      <c r="AC74" s="363"/>
      <c r="AD74" s="354"/>
      <c r="AE74" s="390"/>
      <c r="AF74" s="354"/>
      <c r="AG74" s="354"/>
      <c r="AH74" s="354"/>
      <c r="AI74" s="390"/>
      <c r="AJ74" s="354"/>
      <c r="AK74" s="354"/>
      <c r="AL74" s="380"/>
      <c r="AM74" s="380"/>
      <c r="AN74" s="354"/>
      <c r="AO74" s="354"/>
      <c r="AP74" s="354"/>
      <c r="AQ74" s="357"/>
      <c r="AR74" s="357"/>
      <c r="AS74" s="354"/>
      <c r="AT74" s="390"/>
      <c r="AU74" s="357"/>
      <c r="AV74" s="361"/>
      <c r="AW74" s="392"/>
      <c r="AX74" s="357"/>
      <c r="AY74" s="359"/>
      <c r="AZ74" s="359"/>
      <c r="BA74" s="392"/>
      <c r="BB74" s="392"/>
      <c r="BC74" s="361"/>
      <c r="BD74" s="392"/>
      <c r="BE74" s="392"/>
      <c r="BF74" s="359"/>
      <c r="BG74" s="392"/>
      <c r="BH74" s="392"/>
      <c r="BI74" s="392"/>
      <c r="BJ74" s="392"/>
      <c r="BK74" s="392"/>
      <c r="BL74" s="392"/>
      <c r="BM74" s="392"/>
      <c r="BN74" s="361"/>
      <c r="BO74" s="361"/>
      <c r="BP74" s="364"/>
      <c r="BQ74" s="364"/>
      <c r="BR74" s="361"/>
      <c r="BS74" s="364"/>
      <c r="BT74" s="360"/>
      <c r="BU74" s="355"/>
      <c r="BV74" s="361"/>
      <c r="BW74" s="361"/>
      <c r="BX74" s="354"/>
      <c r="BY74" s="377"/>
      <c r="BZ74" s="377"/>
      <c r="CA74" s="377"/>
      <c r="CB74" s="377"/>
      <c r="CC74" s="377"/>
      <c r="CD74" s="377"/>
      <c r="CE74" s="377"/>
      <c r="CF74" s="377"/>
      <c r="CG74" s="377"/>
      <c r="CH74" s="377"/>
      <c r="CI74" s="377"/>
      <c r="CJ74" s="377"/>
      <c r="CK74" s="377"/>
      <c r="CL74" s="377"/>
      <c r="CM74" s="377"/>
      <c r="CN74" s="377"/>
      <c r="CO74" s="377"/>
      <c r="CP74" s="377"/>
      <c r="CQ74" s="377"/>
      <c r="CR74" s="377"/>
      <c r="CS74" s="354"/>
      <c r="CT74" s="354"/>
      <c r="CU74" s="377"/>
      <c r="CV74" s="377"/>
      <c r="CW74" s="377"/>
      <c r="CX74" s="377"/>
      <c r="CY74" s="391"/>
      <c r="CZ74" s="391"/>
      <c r="DA74" s="377"/>
      <c r="DB74" s="377"/>
      <c r="DC74" s="377"/>
      <c r="DD74" s="377"/>
      <c r="DE74" s="377"/>
      <c r="DF74" s="377"/>
      <c r="DG74" s="377"/>
      <c r="DH74" s="354"/>
      <c r="DI74" s="354"/>
      <c r="DJ74" s="377"/>
      <c r="DK74" s="377"/>
      <c r="DL74" s="377"/>
      <c r="DM74" s="377"/>
      <c r="DN74" s="377"/>
      <c r="DO74" s="377"/>
      <c r="DP74" s="377"/>
      <c r="DQ74" s="377"/>
      <c r="DR74" s="377"/>
      <c r="DS74" s="377"/>
      <c r="DT74" s="377"/>
      <c r="DU74" s="377"/>
      <c r="DV74" s="377"/>
      <c r="DW74" s="377"/>
      <c r="DX74" s="354"/>
      <c r="DY74" s="361"/>
      <c r="DZ74" s="362"/>
      <c r="EA74" s="362"/>
      <c r="EB74" s="362"/>
      <c r="EC74" s="362"/>
      <c r="ED74" s="362"/>
      <c r="EE74" s="362"/>
      <c r="EF74" s="362"/>
      <c r="EG74" s="361"/>
      <c r="EH74" s="361"/>
      <c r="EI74" s="361"/>
      <c r="EJ74" s="361"/>
      <c r="EK74" s="362"/>
      <c r="EL74" s="358"/>
      <c r="EM74" s="355"/>
      <c r="EN74" s="364"/>
      <c r="EO74" s="359"/>
      <c r="EP74" s="358"/>
      <c r="EQ74" s="387"/>
      <c r="ER74" s="355"/>
      <c r="ES74" s="355"/>
      <c r="ET74" s="359"/>
      <c r="EU74" s="361"/>
      <c r="EV74" s="361"/>
      <c r="EW74" s="362"/>
      <c r="EX74" s="362"/>
      <c r="EY74" s="362"/>
      <c r="EZ74" s="362"/>
      <c r="FA74" s="362"/>
      <c r="FB74" s="387"/>
      <c r="FC74" s="355"/>
      <c r="FD74" s="359"/>
      <c r="FE74" s="358"/>
      <c r="FF74" s="358"/>
      <c r="FG74" s="358"/>
      <c r="FH74" s="362"/>
      <c r="FI74" s="362"/>
      <c r="FJ74" s="355"/>
      <c r="FK74" s="362"/>
      <c r="FL74" s="362"/>
      <c r="FM74" s="355"/>
      <c r="FN74" s="355"/>
      <c r="FO74" s="364"/>
      <c r="FP74" s="374"/>
      <c r="FQ74" s="374"/>
      <c r="FR74" s="374"/>
      <c r="FS74" s="364"/>
      <c r="FT74" s="364"/>
      <c r="FU74" s="374"/>
      <c r="FV74" s="363"/>
      <c r="FW74" s="364"/>
      <c r="FX74" s="364"/>
      <c r="FY74" s="374"/>
      <c r="FZ74" s="374"/>
      <c r="GA74" s="374"/>
      <c r="GB74" s="374"/>
      <c r="GC74" s="374"/>
      <c r="GD74" s="374"/>
      <c r="GE74" s="364"/>
      <c r="GF74" s="374"/>
      <c r="GG74" s="374"/>
      <c r="GH74" s="374"/>
      <c r="GI74" s="364"/>
      <c r="GJ74" s="374"/>
      <c r="GK74" s="374"/>
      <c r="GL74" s="374"/>
      <c r="GM74" s="374"/>
      <c r="GN74" s="364"/>
      <c r="GO74" s="364"/>
      <c r="GP74" s="364"/>
      <c r="GQ74" s="364"/>
      <c r="GR74" s="356"/>
    </row>
    <row r="75" spans="1:200" ht="13.5" customHeight="1" x14ac:dyDescent="0.2">
      <c r="A75" s="359"/>
      <c r="B75" s="358"/>
      <c r="C75" s="355"/>
      <c r="D75" s="364"/>
      <c r="E75" s="364"/>
      <c r="F75" s="364"/>
      <c r="G75" s="364"/>
      <c r="H75" s="356"/>
      <c r="I75" s="364"/>
      <c r="J75" s="364"/>
      <c r="K75" s="355"/>
      <c r="L75" s="356"/>
      <c r="M75" s="359"/>
      <c r="N75" s="362"/>
      <c r="O75" s="362"/>
      <c r="P75" s="362"/>
      <c r="Q75" s="362"/>
      <c r="R75" s="362"/>
      <c r="S75" s="362"/>
      <c r="T75" s="363"/>
      <c r="U75" s="363"/>
      <c r="V75" s="363"/>
      <c r="W75" s="363"/>
      <c r="X75" s="363"/>
      <c r="Y75" s="384"/>
      <c r="Z75" s="374"/>
      <c r="AA75" s="356"/>
      <c r="AB75" s="356"/>
      <c r="AC75" s="360"/>
      <c r="AD75" s="354"/>
      <c r="AE75" s="357"/>
      <c r="AF75" s="354"/>
      <c r="AG75" s="354"/>
      <c r="AH75" s="354"/>
      <c r="AI75" s="390"/>
      <c r="AJ75" s="354"/>
      <c r="AK75" s="354"/>
      <c r="AL75" s="380"/>
      <c r="AM75" s="380"/>
      <c r="AN75" s="354"/>
      <c r="AO75" s="354"/>
      <c r="AP75" s="354"/>
      <c r="AQ75" s="357"/>
      <c r="AR75" s="357"/>
      <c r="AS75" s="354"/>
      <c r="AT75" s="369"/>
      <c r="AU75" s="357"/>
      <c r="AV75" s="361"/>
      <c r="AW75" s="362"/>
      <c r="AX75" s="362"/>
      <c r="AY75" s="359"/>
      <c r="AZ75" s="359"/>
      <c r="BA75" s="359"/>
      <c r="BB75" s="361"/>
      <c r="BC75" s="362"/>
      <c r="BD75" s="362"/>
      <c r="BE75" s="362"/>
      <c r="BF75" s="362"/>
      <c r="BG75" s="358"/>
      <c r="BH75" s="362"/>
      <c r="BI75" s="362"/>
      <c r="BJ75" s="362"/>
      <c r="BK75" s="361"/>
      <c r="BL75" s="361"/>
      <c r="BM75" s="360"/>
      <c r="BN75" s="360"/>
      <c r="BO75" s="361"/>
      <c r="BP75" s="355"/>
      <c r="BQ75" s="361"/>
      <c r="BR75" s="361"/>
      <c r="BS75" s="361"/>
      <c r="BT75" s="361"/>
      <c r="BU75" s="364"/>
      <c r="BV75" s="355"/>
      <c r="BW75" s="355"/>
      <c r="BX75" s="354"/>
      <c r="BY75" s="354"/>
      <c r="BZ75" s="377"/>
      <c r="CA75" s="377"/>
      <c r="CB75" s="377"/>
      <c r="CC75" s="377"/>
      <c r="CD75" s="377"/>
      <c r="CE75" s="377"/>
      <c r="CF75" s="377"/>
      <c r="CG75" s="377"/>
      <c r="CH75" s="377"/>
      <c r="CI75" s="377"/>
      <c r="CJ75" s="377"/>
      <c r="CK75" s="377"/>
      <c r="CL75" s="377"/>
      <c r="CM75" s="377"/>
      <c r="CN75" s="377"/>
      <c r="CO75" s="377"/>
      <c r="CP75" s="377"/>
      <c r="CQ75" s="377"/>
      <c r="CR75" s="377"/>
      <c r="CS75" s="354"/>
      <c r="CT75" s="354"/>
      <c r="CU75" s="377"/>
      <c r="CV75" s="377"/>
      <c r="CW75" s="377"/>
      <c r="CX75" s="377"/>
      <c r="CY75" s="377"/>
      <c r="CZ75" s="377"/>
      <c r="DA75" s="377"/>
      <c r="DB75" s="377"/>
      <c r="DC75" s="377"/>
      <c r="DD75" s="377"/>
      <c r="DE75" s="377"/>
      <c r="DF75" s="391"/>
      <c r="DG75" s="391"/>
      <c r="DH75" s="377"/>
      <c r="DI75" s="354"/>
      <c r="DJ75" s="377"/>
      <c r="DK75" s="377"/>
      <c r="DL75" s="377"/>
      <c r="DM75" s="377"/>
      <c r="DN75" s="377"/>
      <c r="DO75" s="377"/>
      <c r="DP75" s="391"/>
      <c r="DQ75" s="377"/>
      <c r="DR75" s="377"/>
      <c r="DS75" s="377"/>
      <c r="DT75" s="377"/>
      <c r="DU75" s="377"/>
      <c r="DV75" s="377"/>
      <c r="DW75" s="377"/>
      <c r="DX75" s="354"/>
      <c r="DY75" s="362"/>
      <c r="DZ75" s="362"/>
      <c r="EA75" s="361"/>
      <c r="EB75" s="362"/>
      <c r="EC75" s="362"/>
      <c r="ED75" s="360"/>
      <c r="EE75" s="362"/>
      <c r="EF75" s="355"/>
      <c r="EG75" s="362"/>
      <c r="EH75" s="361"/>
      <c r="EI75" s="362"/>
      <c r="EJ75" s="361"/>
      <c r="EK75" s="355"/>
      <c r="EL75" s="358"/>
      <c r="EM75" s="358"/>
      <c r="EN75" s="360"/>
      <c r="EO75" s="359"/>
      <c r="EP75" s="359"/>
      <c r="EQ75" s="355"/>
      <c r="ER75" s="355"/>
      <c r="ES75" s="360"/>
      <c r="ET75" s="355"/>
      <c r="EU75" s="361"/>
      <c r="EV75" s="361"/>
      <c r="EW75" s="361"/>
      <c r="EX75" s="362"/>
      <c r="EY75" s="362"/>
      <c r="EZ75" s="362"/>
      <c r="FA75" s="362"/>
      <c r="FB75" s="357"/>
      <c r="FC75" s="387"/>
      <c r="FD75" s="359"/>
      <c r="FE75" s="358"/>
      <c r="FF75" s="362"/>
      <c r="FG75" s="358"/>
      <c r="FH75" s="362"/>
      <c r="FI75" s="362"/>
      <c r="FJ75" s="362"/>
      <c r="FK75" s="358"/>
      <c r="FL75" s="355"/>
      <c r="FM75" s="355"/>
      <c r="FN75" s="364"/>
      <c r="FO75" s="364"/>
      <c r="FP75" s="374"/>
      <c r="FQ75" s="364"/>
      <c r="FR75" s="364"/>
      <c r="FS75" s="364"/>
      <c r="FT75" s="374"/>
      <c r="FU75" s="363"/>
      <c r="FV75" s="374"/>
      <c r="FW75" s="374"/>
      <c r="FX75" s="374"/>
      <c r="FY75" s="374"/>
      <c r="FZ75" s="374"/>
      <c r="GA75" s="364"/>
      <c r="GB75" s="364"/>
      <c r="GC75" s="374"/>
      <c r="GD75" s="374"/>
      <c r="GE75" s="374"/>
      <c r="GF75" s="374"/>
      <c r="GG75" s="364"/>
      <c r="GH75" s="364"/>
      <c r="GI75" s="385"/>
      <c r="GJ75" s="374"/>
      <c r="GK75" s="374"/>
      <c r="GL75" s="374"/>
      <c r="GM75" s="374"/>
      <c r="GN75" s="364"/>
      <c r="GO75" s="364"/>
      <c r="GP75" s="356"/>
      <c r="GQ75" s="356"/>
      <c r="GR75" s="364"/>
    </row>
    <row r="76" spans="1:200" ht="13.5" customHeight="1" x14ac:dyDescent="0.2">
      <c r="A76" s="359"/>
      <c r="B76" s="358"/>
      <c r="C76" s="355"/>
      <c r="D76" s="364"/>
      <c r="E76" s="364"/>
      <c r="F76" s="364"/>
      <c r="G76" s="364"/>
      <c r="H76" s="364"/>
      <c r="I76" s="364"/>
      <c r="J76" s="364"/>
      <c r="K76" s="362"/>
      <c r="L76" s="362"/>
      <c r="M76" s="362"/>
      <c r="N76" s="362"/>
      <c r="O76" s="362"/>
      <c r="P76" s="362"/>
      <c r="Q76" s="362"/>
      <c r="R76" s="362"/>
      <c r="S76" s="355"/>
      <c r="T76" s="363"/>
      <c r="U76" s="363"/>
      <c r="V76" s="363"/>
      <c r="W76" s="374"/>
      <c r="X76" s="363"/>
      <c r="Y76" s="384"/>
      <c r="Z76" s="363"/>
      <c r="AA76" s="363"/>
      <c r="AB76" s="363"/>
      <c r="AC76" s="363"/>
      <c r="AD76" s="354"/>
      <c r="AE76" s="357"/>
      <c r="AF76" s="357"/>
      <c r="AG76" s="354"/>
      <c r="AH76" s="354"/>
      <c r="AI76" s="390"/>
      <c r="AJ76" s="354"/>
      <c r="AK76" s="354"/>
      <c r="AL76" s="380"/>
      <c r="AM76" s="380"/>
      <c r="AN76" s="354"/>
      <c r="AO76" s="354"/>
      <c r="AP76" s="354"/>
      <c r="AQ76" s="357"/>
      <c r="AR76" s="357"/>
      <c r="AS76" s="354"/>
      <c r="AT76" s="390"/>
      <c r="AU76" s="380"/>
      <c r="AV76" s="361"/>
      <c r="AW76" s="361"/>
      <c r="AX76" s="362"/>
      <c r="AY76" s="361"/>
      <c r="AZ76" s="361"/>
      <c r="BA76" s="361"/>
      <c r="BB76" s="362"/>
      <c r="BC76" s="362"/>
      <c r="BD76" s="361"/>
      <c r="BE76" s="362"/>
      <c r="BF76" s="362"/>
      <c r="BG76" s="362"/>
      <c r="BH76" s="362"/>
      <c r="BI76" s="362"/>
      <c r="BJ76" s="361"/>
      <c r="BK76" s="361"/>
      <c r="BL76" s="361"/>
      <c r="BM76" s="355"/>
      <c r="BN76" s="356"/>
      <c r="BO76" s="356"/>
      <c r="BP76" s="360"/>
      <c r="BQ76" s="360"/>
      <c r="BR76" s="364"/>
      <c r="BS76" s="364"/>
      <c r="BT76" s="364"/>
      <c r="BU76" s="356"/>
      <c r="BV76" s="356"/>
      <c r="BW76" s="355"/>
      <c r="BX76" s="355"/>
      <c r="BY76" s="354"/>
      <c r="BZ76" s="377"/>
      <c r="CA76" s="377"/>
      <c r="CB76" s="377"/>
      <c r="CC76" s="377"/>
      <c r="CD76" s="391"/>
      <c r="CE76" s="377"/>
      <c r="CF76" s="377"/>
      <c r="CG76" s="377"/>
      <c r="CH76" s="377"/>
      <c r="CI76" s="391"/>
      <c r="CJ76" s="391"/>
      <c r="CK76" s="391"/>
      <c r="CL76" s="391"/>
      <c r="CM76" s="391"/>
      <c r="CN76" s="391"/>
      <c r="CO76" s="391"/>
      <c r="CP76" s="391"/>
      <c r="CQ76" s="391"/>
      <c r="CR76" s="377"/>
      <c r="CS76" s="354"/>
      <c r="CT76" s="354"/>
      <c r="CU76" s="377"/>
      <c r="CV76" s="377"/>
      <c r="CW76" s="377"/>
      <c r="CX76" s="377"/>
      <c r="CY76" s="391"/>
      <c r="CZ76" s="377"/>
      <c r="DA76" s="377"/>
      <c r="DB76" s="391"/>
      <c r="DC76" s="377"/>
      <c r="DD76" s="391"/>
      <c r="DE76" s="377"/>
      <c r="DF76" s="391"/>
      <c r="DG76" s="391"/>
      <c r="DH76" s="391"/>
      <c r="DI76" s="354"/>
      <c r="DJ76" s="377"/>
      <c r="DK76" s="377"/>
      <c r="DL76" s="391"/>
      <c r="DM76" s="391"/>
      <c r="DN76" s="377"/>
      <c r="DO76" s="391"/>
      <c r="DP76" s="377"/>
      <c r="DQ76" s="391"/>
      <c r="DR76" s="391"/>
      <c r="DS76" s="377"/>
      <c r="DT76" s="391"/>
      <c r="DU76" s="377"/>
      <c r="DV76" s="377"/>
      <c r="DW76" s="377"/>
      <c r="DX76" s="354"/>
      <c r="DY76" s="361"/>
      <c r="DZ76" s="361"/>
      <c r="EA76" s="362"/>
      <c r="EB76" s="362"/>
      <c r="EC76" s="364"/>
      <c r="ED76" s="360"/>
      <c r="EE76" s="364"/>
      <c r="EF76" s="364"/>
      <c r="EG76" s="361"/>
      <c r="EH76" s="361"/>
      <c r="EI76" s="361"/>
      <c r="EJ76" s="362"/>
      <c r="EK76" s="362"/>
      <c r="EL76" s="358"/>
      <c r="EM76" s="358"/>
      <c r="EN76" s="364"/>
      <c r="EO76" s="361"/>
      <c r="EP76" s="359"/>
      <c r="EQ76" s="355"/>
      <c r="ER76" s="361"/>
      <c r="ES76" s="360"/>
      <c r="ET76" s="355"/>
      <c r="EU76" s="361"/>
      <c r="EV76" s="361"/>
      <c r="EW76" s="361"/>
      <c r="EX76" s="362"/>
      <c r="EY76" s="362"/>
      <c r="EZ76" s="362"/>
      <c r="FA76" s="362"/>
      <c r="FB76" s="359"/>
      <c r="FC76" s="387"/>
      <c r="FD76" s="359"/>
      <c r="FE76" s="358"/>
      <c r="FF76" s="362"/>
      <c r="FG76" s="362"/>
      <c r="FH76" s="362"/>
      <c r="FI76" s="362"/>
      <c r="FJ76" s="362"/>
      <c r="FK76" s="361"/>
      <c r="FL76" s="361"/>
      <c r="FM76" s="364"/>
      <c r="FN76" s="364"/>
      <c r="FO76" s="364"/>
      <c r="FP76" s="364"/>
      <c r="FQ76" s="364"/>
      <c r="FR76" s="364"/>
      <c r="FS76" s="364"/>
      <c r="FT76" s="374"/>
      <c r="FU76" s="374"/>
      <c r="FV76" s="374"/>
      <c r="FW76" s="374"/>
      <c r="FX76" s="364"/>
      <c r="FY76" s="360"/>
      <c r="FZ76" s="364"/>
      <c r="GA76" s="364"/>
      <c r="GB76" s="364"/>
      <c r="GC76" s="374"/>
      <c r="GD76" s="364"/>
      <c r="GE76" s="374"/>
      <c r="GF76" s="364"/>
      <c r="GG76" s="364"/>
      <c r="GH76" s="364"/>
      <c r="GI76" s="385"/>
      <c r="GJ76" s="364"/>
      <c r="GK76" s="385"/>
      <c r="GL76" s="364"/>
      <c r="GM76" s="364"/>
      <c r="GN76" s="356"/>
      <c r="GO76" s="356"/>
      <c r="GP76" s="356"/>
      <c r="GQ76" s="364"/>
      <c r="GR76" s="364"/>
    </row>
    <row r="77" spans="1:200" ht="13.5" customHeight="1" x14ac:dyDescent="0.2">
      <c r="A77" s="362"/>
      <c r="B77" s="362"/>
      <c r="C77" s="362"/>
      <c r="D77" s="359"/>
      <c r="E77" s="385"/>
      <c r="F77" s="364"/>
      <c r="G77" s="364"/>
      <c r="H77" s="385"/>
      <c r="I77" s="355"/>
      <c r="J77" s="387"/>
      <c r="K77" s="362"/>
      <c r="L77" s="362"/>
      <c r="M77" s="362"/>
      <c r="N77" s="362"/>
      <c r="O77" s="362"/>
      <c r="P77" s="361"/>
      <c r="Q77" s="362"/>
      <c r="R77" s="362"/>
      <c r="S77" s="387"/>
      <c r="T77" s="363"/>
      <c r="U77" s="363"/>
      <c r="V77" s="363"/>
      <c r="W77" s="374"/>
      <c r="X77" s="363"/>
      <c r="Y77" s="374"/>
      <c r="Z77" s="363"/>
      <c r="AA77" s="363"/>
      <c r="AB77" s="384"/>
      <c r="AC77" s="363"/>
      <c r="AD77" s="363"/>
      <c r="AE77" s="354"/>
      <c r="AF77" s="380"/>
      <c r="AG77" s="354"/>
      <c r="AH77" s="354"/>
      <c r="AI77" s="390"/>
      <c r="AJ77" s="354"/>
      <c r="AK77" s="354"/>
      <c r="AL77" s="380"/>
      <c r="AM77" s="380"/>
      <c r="AN77" s="354"/>
      <c r="AO77" s="354"/>
      <c r="AP77" s="354"/>
      <c r="AQ77" s="354"/>
      <c r="AR77" s="357"/>
      <c r="AS77" s="354"/>
      <c r="AT77" s="380"/>
      <c r="AU77" s="380"/>
      <c r="AV77" s="361"/>
      <c r="AW77" s="361"/>
      <c r="AX77" s="361"/>
      <c r="AY77" s="361"/>
      <c r="AZ77" s="354"/>
      <c r="BA77" s="357"/>
      <c r="BB77" s="362"/>
      <c r="BC77" s="362"/>
      <c r="BD77" s="362"/>
      <c r="BE77" s="361"/>
      <c r="BF77" s="362"/>
      <c r="BG77" s="362"/>
      <c r="BH77" s="362"/>
      <c r="BI77" s="360"/>
      <c r="BJ77" s="360"/>
      <c r="BK77" s="360"/>
      <c r="BL77" s="356"/>
      <c r="BM77" s="385"/>
      <c r="BN77" s="385"/>
      <c r="BO77" s="356"/>
      <c r="BP77" s="356"/>
      <c r="BQ77" s="356"/>
      <c r="BR77" s="360"/>
      <c r="BS77" s="364"/>
      <c r="BT77" s="364"/>
      <c r="BU77" s="364"/>
      <c r="BV77" s="356"/>
      <c r="BW77" s="355"/>
      <c r="BX77" s="356"/>
      <c r="BY77" s="354"/>
      <c r="BZ77" s="354"/>
      <c r="CA77" s="377"/>
      <c r="CB77" s="391"/>
      <c r="CC77" s="391"/>
      <c r="CD77" s="391"/>
      <c r="CE77" s="377"/>
      <c r="CF77" s="391"/>
      <c r="CG77" s="377"/>
      <c r="CH77" s="391"/>
      <c r="CI77" s="391"/>
      <c r="CJ77" s="391"/>
      <c r="CK77" s="391"/>
      <c r="CL77" s="391"/>
      <c r="CM77" s="391"/>
      <c r="CN77" s="391"/>
      <c r="CO77" s="391"/>
      <c r="CP77" s="391"/>
      <c r="CQ77" s="391"/>
      <c r="CR77" s="377"/>
      <c r="CS77" s="354"/>
      <c r="CT77" s="354"/>
      <c r="CU77" s="377"/>
      <c r="CV77" s="377"/>
      <c r="CW77" s="377"/>
      <c r="CX77" s="354"/>
      <c r="CY77" s="377"/>
      <c r="CZ77" s="377"/>
      <c r="DA77" s="377"/>
      <c r="DB77" s="377"/>
      <c r="DC77" s="377"/>
      <c r="DD77" s="377"/>
      <c r="DE77" s="377"/>
      <c r="DF77" s="377"/>
      <c r="DG77" s="354"/>
      <c r="DH77" s="377"/>
      <c r="DI77" s="354"/>
      <c r="DJ77" s="354"/>
      <c r="DK77" s="354"/>
      <c r="DL77" s="354"/>
      <c r="DM77" s="354"/>
      <c r="DN77" s="354"/>
      <c r="DO77" s="364"/>
      <c r="DP77" s="364"/>
      <c r="DQ77" s="354"/>
      <c r="DR77" s="377"/>
      <c r="DS77" s="391"/>
      <c r="DT77" s="391"/>
      <c r="DU77" s="391"/>
      <c r="DV77" s="391"/>
      <c r="DW77" s="354"/>
      <c r="DX77" s="354"/>
      <c r="DY77" s="354"/>
      <c r="DZ77" s="362"/>
      <c r="EA77" s="361"/>
      <c r="EB77" s="360"/>
      <c r="EC77" s="355"/>
      <c r="ED77" s="364"/>
      <c r="EE77" s="364"/>
      <c r="EF77" s="355"/>
      <c r="EG77" s="360"/>
      <c r="EH77" s="361"/>
      <c r="EI77" s="361"/>
      <c r="EJ77" s="361"/>
      <c r="EK77" s="362"/>
      <c r="EL77" s="358"/>
      <c r="EM77" s="359"/>
      <c r="EN77" s="359"/>
      <c r="EO77" s="361"/>
      <c r="EP77" s="359"/>
      <c r="EQ77" s="361"/>
      <c r="ER77" s="360"/>
      <c r="ES77" s="360"/>
      <c r="ET77" s="356"/>
      <c r="EU77" s="362"/>
      <c r="EV77" s="361"/>
      <c r="EW77" s="361"/>
      <c r="EX77" s="361"/>
      <c r="EY77" s="362"/>
      <c r="EZ77" s="362"/>
      <c r="FA77" s="362"/>
      <c r="FB77" s="359"/>
      <c r="FC77" s="358"/>
      <c r="FD77" s="359"/>
      <c r="FE77" s="362"/>
      <c r="FF77" s="362"/>
      <c r="FG77" s="362"/>
      <c r="FH77" s="362"/>
      <c r="FI77" s="355"/>
      <c r="FJ77" s="361"/>
      <c r="FK77" s="361"/>
      <c r="FL77" s="355"/>
      <c r="FM77" s="364"/>
      <c r="FN77" s="374"/>
      <c r="FO77" s="385"/>
      <c r="FP77" s="364"/>
      <c r="FQ77" s="364"/>
      <c r="FR77" s="364"/>
      <c r="FS77" s="364"/>
      <c r="FT77" s="374"/>
      <c r="FU77" s="374"/>
      <c r="FV77" s="374"/>
      <c r="FW77" s="364"/>
      <c r="FX77" s="360"/>
      <c r="FY77" s="360"/>
      <c r="FZ77" s="364"/>
      <c r="GA77" s="364"/>
      <c r="GB77" s="364"/>
      <c r="GC77" s="364"/>
      <c r="GD77" s="385"/>
      <c r="GE77" s="364"/>
      <c r="GF77" s="364"/>
      <c r="GG77" s="385"/>
      <c r="GH77" s="385"/>
      <c r="GI77" s="364"/>
      <c r="GJ77" s="374"/>
      <c r="GK77" s="364"/>
      <c r="GL77" s="364"/>
      <c r="GM77" s="356"/>
      <c r="GN77" s="356"/>
      <c r="GO77" s="364"/>
      <c r="GP77" s="356"/>
      <c r="GQ77" s="356"/>
      <c r="GR77" s="364"/>
    </row>
    <row r="78" spans="1:200" ht="13.5" customHeight="1" x14ac:dyDescent="0.2">
      <c r="A78" s="359"/>
      <c r="B78" s="359"/>
      <c r="C78" s="362"/>
      <c r="D78" s="361"/>
      <c r="E78" s="355"/>
      <c r="F78" s="364"/>
      <c r="G78" s="364"/>
      <c r="H78" s="362"/>
      <c r="I78" s="361"/>
      <c r="J78" s="361"/>
      <c r="K78" s="362"/>
      <c r="L78" s="362"/>
      <c r="M78" s="362"/>
      <c r="N78" s="362"/>
      <c r="O78" s="362"/>
      <c r="P78" s="362"/>
      <c r="Q78" s="362"/>
      <c r="R78" s="362"/>
      <c r="S78" s="356"/>
      <c r="T78" s="363"/>
      <c r="U78" s="363"/>
      <c r="V78" s="388"/>
      <c r="W78" s="363"/>
      <c r="X78" s="374"/>
      <c r="Y78" s="388"/>
      <c r="Z78" s="384"/>
      <c r="AA78" s="363"/>
      <c r="AB78" s="363"/>
      <c r="AC78" s="363"/>
      <c r="AD78" s="363"/>
      <c r="AE78" s="354"/>
      <c r="AF78" s="380"/>
      <c r="AG78" s="354"/>
      <c r="AH78" s="354"/>
      <c r="AI78" s="380"/>
      <c r="AJ78" s="354"/>
      <c r="AK78" s="354"/>
      <c r="AL78" s="380"/>
      <c r="AM78" s="381"/>
      <c r="AN78" s="354"/>
      <c r="AO78" s="354"/>
      <c r="AP78" s="357"/>
      <c r="AQ78" s="354"/>
      <c r="AR78" s="354"/>
      <c r="AS78" s="354"/>
      <c r="AT78" s="380"/>
      <c r="AU78" s="381"/>
      <c r="AV78" s="357"/>
      <c r="AW78" s="361"/>
      <c r="AX78" s="361"/>
      <c r="AY78" s="354"/>
      <c r="AZ78" s="357"/>
      <c r="BA78" s="362"/>
      <c r="BB78" s="362"/>
      <c r="BC78" s="361"/>
      <c r="BD78" s="361"/>
      <c r="BE78" s="362"/>
      <c r="BF78" s="361"/>
      <c r="BG78" s="370"/>
      <c r="BH78" s="360"/>
      <c r="BI78" s="364"/>
      <c r="BJ78" s="356"/>
      <c r="BK78" s="364"/>
      <c r="BL78" s="364"/>
      <c r="BM78" s="364"/>
      <c r="BN78" s="356"/>
      <c r="BO78" s="364"/>
      <c r="BP78" s="364"/>
      <c r="BQ78" s="385"/>
      <c r="BR78" s="364"/>
      <c r="BS78" s="364"/>
      <c r="BT78" s="360"/>
      <c r="BU78" s="364"/>
      <c r="BV78" s="354"/>
      <c r="BW78" s="354"/>
      <c r="BX78" s="354"/>
      <c r="BY78" s="393"/>
      <c r="BZ78" s="354"/>
      <c r="CA78" s="354"/>
      <c r="CB78" s="391"/>
      <c r="CC78" s="391"/>
      <c r="CD78" s="391"/>
      <c r="CE78" s="391"/>
      <c r="CF78" s="391"/>
      <c r="CG78" s="391"/>
      <c r="CH78" s="391"/>
      <c r="CI78" s="391"/>
      <c r="CJ78" s="391"/>
      <c r="CK78" s="354"/>
      <c r="CL78" s="354"/>
      <c r="CM78" s="354"/>
      <c r="CN78" s="354"/>
      <c r="CO78" s="354"/>
      <c r="CP78" s="354"/>
      <c r="CQ78" s="354"/>
      <c r="CR78" s="354"/>
      <c r="CS78" s="354"/>
      <c r="CT78" s="354"/>
      <c r="CU78" s="354"/>
      <c r="CV78" s="354"/>
      <c r="CW78" s="354"/>
      <c r="CX78" s="354"/>
      <c r="CY78" s="354"/>
      <c r="CZ78" s="354"/>
      <c r="DA78" s="354"/>
      <c r="DB78" s="354"/>
      <c r="DC78" s="354"/>
      <c r="DD78" s="377"/>
      <c r="DE78" s="354"/>
      <c r="DF78" s="377"/>
      <c r="DG78" s="354"/>
      <c r="DH78" s="354"/>
      <c r="DI78" s="354"/>
      <c r="DJ78" s="393"/>
      <c r="DK78" s="393"/>
      <c r="DL78" s="393"/>
      <c r="DM78" s="393"/>
      <c r="DN78" s="354"/>
      <c r="DO78" s="354"/>
      <c r="DP78" s="354"/>
      <c r="DQ78" s="354"/>
      <c r="DR78" s="354"/>
      <c r="DS78" s="354"/>
      <c r="DT78" s="354"/>
      <c r="DU78" s="354"/>
      <c r="DV78" s="354"/>
      <c r="DW78" s="354"/>
      <c r="DX78" s="354"/>
      <c r="DY78" s="354"/>
      <c r="DZ78" s="354"/>
      <c r="EA78" s="360"/>
      <c r="EB78" s="361"/>
      <c r="EC78" s="361"/>
      <c r="ED78" s="360"/>
      <c r="EE78" s="364"/>
      <c r="EF78" s="362"/>
      <c r="EG78" s="361"/>
      <c r="EH78" s="361"/>
      <c r="EI78" s="362"/>
      <c r="EJ78" s="362"/>
      <c r="EK78" s="362"/>
      <c r="EL78" s="355"/>
      <c r="EM78" s="359"/>
      <c r="EN78" s="355"/>
      <c r="EO78" s="361"/>
      <c r="EP78" s="361"/>
      <c r="EQ78" s="361"/>
      <c r="ER78" s="364"/>
      <c r="ES78" s="364"/>
      <c r="ET78" s="356"/>
      <c r="EU78" s="362"/>
      <c r="EV78" s="355"/>
      <c r="EW78" s="362"/>
      <c r="EX78" s="361"/>
      <c r="EY78" s="362"/>
      <c r="EZ78" s="362"/>
      <c r="FA78" s="362"/>
      <c r="FB78" s="359"/>
      <c r="FC78" s="359"/>
      <c r="FD78" s="359"/>
      <c r="FE78" s="362"/>
      <c r="FF78" s="362"/>
      <c r="FG78" s="362"/>
      <c r="FH78" s="362"/>
      <c r="FI78" s="355"/>
      <c r="FJ78" s="364"/>
      <c r="FK78" s="356"/>
      <c r="FL78" s="364"/>
      <c r="FM78" s="374"/>
      <c r="FN78" s="364"/>
      <c r="FO78" s="364"/>
      <c r="FP78" s="356"/>
      <c r="FQ78" s="364"/>
      <c r="FR78" s="364"/>
      <c r="FS78" s="374"/>
      <c r="FT78" s="374"/>
      <c r="FU78" s="374"/>
      <c r="FV78" s="360"/>
      <c r="FW78" s="360"/>
      <c r="FX78" s="364"/>
      <c r="FY78" s="364"/>
      <c r="FZ78" s="364"/>
      <c r="GA78" s="364"/>
      <c r="GB78" s="385"/>
      <c r="GC78" s="385"/>
      <c r="GD78" s="364"/>
      <c r="GE78" s="385"/>
      <c r="GF78" s="385"/>
      <c r="GG78" s="374"/>
      <c r="GH78" s="364"/>
      <c r="GI78" s="364"/>
      <c r="GJ78" s="364"/>
      <c r="GK78" s="364"/>
      <c r="GL78" s="356"/>
      <c r="GM78" s="364"/>
      <c r="GN78" s="364"/>
      <c r="GO78" s="361"/>
      <c r="GP78" s="355"/>
      <c r="GQ78" s="364"/>
      <c r="GR78" s="364"/>
    </row>
    <row r="79" spans="1:200" ht="13.5" customHeight="1" x14ac:dyDescent="0.2">
      <c r="A79" s="362"/>
      <c r="B79" s="359"/>
      <c r="C79" s="359"/>
      <c r="D79" s="359"/>
      <c r="E79" s="358"/>
      <c r="F79" s="358"/>
      <c r="G79" s="362"/>
      <c r="H79" s="362"/>
      <c r="I79" s="387"/>
      <c r="J79" s="362"/>
      <c r="K79" s="362"/>
      <c r="L79" s="362"/>
      <c r="M79" s="362"/>
      <c r="N79" s="362"/>
      <c r="O79" s="362"/>
      <c r="P79" s="362"/>
      <c r="Q79" s="362"/>
      <c r="R79" s="355"/>
      <c r="S79" s="360"/>
      <c r="T79" s="363"/>
      <c r="U79" s="360"/>
      <c r="V79" s="374"/>
      <c r="W79" s="374"/>
      <c r="X79" s="388"/>
      <c r="Y79" s="384"/>
      <c r="Z79" s="388"/>
      <c r="AA79" s="363"/>
      <c r="AB79" s="374"/>
      <c r="AC79" s="360"/>
      <c r="AD79" s="360"/>
      <c r="AE79" s="354"/>
      <c r="AF79" s="354"/>
      <c r="AG79" s="354"/>
      <c r="AH79" s="354"/>
      <c r="AI79" s="380"/>
      <c r="AJ79" s="354"/>
      <c r="AK79" s="354"/>
      <c r="AL79" s="357"/>
      <c r="AM79" s="354"/>
      <c r="AN79" s="369"/>
      <c r="AO79" s="354"/>
      <c r="AP79" s="357"/>
      <c r="AQ79" s="354"/>
      <c r="AR79" s="357"/>
      <c r="AS79" s="354"/>
      <c r="AT79" s="380"/>
      <c r="AU79" s="380"/>
      <c r="AV79" s="357"/>
      <c r="AW79" s="354"/>
      <c r="AX79" s="354"/>
      <c r="AY79" s="354"/>
      <c r="AZ79" s="362"/>
      <c r="BA79" s="361"/>
      <c r="BB79" s="361"/>
      <c r="BC79" s="362"/>
      <c r="BD79" s="361"/>
      <c r="BE79" s="362"/>
      <c r="BF79" s="362"/>
      <c r="BG79" s="355"/>
      <c r="BH79" s="356"/>
      <c r="BI79" s="356"/>
      <c r="BJ79" s="364"/>
      <c r="BK79" s="364"/>
      <c r="BL79" s="364"/>
      <c r="BM79" s="385"/>
      <c r="BN79" s="364"/>
      <c r="BO79" s="364"/>
      <c r="BP79" s="364"/>
      <c r="BQ79" s="364"/>
      <c r="BR79" s="374"/>
      <c r="BS79" s="374"/>
      <c r="BT79" s="364"/>
      <c r="BU79" s="385"/>
      <c r="BV79" s="354"/>
      <c r="BW79" s="394"/>
      <c r="BX79" s="393"/>
      <c r="BY79" s="393"/>
      <c r="BZ79" s="393"/>
      <c r="CA79" s="354"/>
      <c r="CB79" s="354"/>
      <c r="CC79" s="354"/>
      <c r="CD79" s="354"/>
      <c r="CE79" s="354"/>
      <c r="CF79" s="354"/>
      <c r="CG79" s="354"/>
      <c r="CH79" s="354"/>
      <c r="CI79" s="354"/>
      <c r="CJ79" s="354"/>
      <c r="CK79" s="354"/>
      <c r="CL79" s="354"/>
      <c r="CM79" s="354"/>
      <c r="CN79" s="354"/>
      <c r="CO79" s="354"/>
      <c r="CP79" s="393"/>
      <c r="CQ79" s="393"/>
      <c r="CR79" s="393"/>
      <c r="CS79" s="354"/>
      <c r="CT79" s="354"/>
      <c r="CU79" s="393"/>
      <c r="CV79" s="393"/>
      <c r="CW79" s="393"/>
      <c r="CX79" s="354"/>
      <c r="CY79" s="354"/>
      <c r="CZ79" s="354"/>
      <c r="DA79" s="354"/>
      <c r="DB79" s="354"/>
      <c r="DC79" s="354"/>
      <c r="DD79" s="354"/>
      <c r="DE79" s="354"/>
      <c r="DF79" s="377"/>
      <c r="DG79" s="354"/>
      <c r="DH79" s="354"/>
      <c r="DI79" s="393"/>
      <c r="DJ79" s="393"/>
      <c r="DK79" s="393"/>
      <c r="DL79" s="393"/>
      <c r="DM79" s="393"/>
      <c r="DN79" s="393"/>
      <c r="DO79" s="395"/>
      <c r="DP79" s="395"/>
      <c r="DQ79" s="395"/>
      <c r="DR79" s="381"/>
      <c r="DS79" s="393"/>
      <c r="DT79" s="393"/>
      <c r="DU79" s="354"/>
      <c r="DV79" s="354"/>
      <c r="DW79" s="393"/>
      <c r="DX79" s="393"/>
      <c r="DY79" s="393"/>
      <c r="DZ79" s="354"/>
      <c r="EA79" s="354"/>
      <c r="EB79" s="361"/>
      <c r="EC79" s="360"/>
      <c r="ED79" s="360"/>
      <c r="EE79" s="358"/>
      <c r="EF79" s="362"/>
      <c r="EG79" s="361"/>
      <c r="EH79" s="361"/>
      <c r="EI79" s="362"/>
      <c r="EJ79" s="362"/>
      <c r="EK79" s="361"/>
      <c r="EL79" s="355"/>
      <c r="EM79" s="358"/>
      <c r="EN79" s="358"/>
      <c r="EO79" s="362"/>
      <c r="EP79" s="361"/>
      <c r="EQ79" s="360"/>
      <c r="ER79" s="360"/>
      <c r="ES79" s="355"/>
      <c r="ET79" s="356"/>
      <c r="EU79" s="355"/>
      <c r="EV79" s="362"/>
      <c r="EW79" s="362"/>
      <c r="EX79" s="361"/>
      <c r="EY79" s="362"/>
      <c r="EZ79" s="362"/>
      <c r="FA79" s="362"/>
      <c r="FB79" s="358"/>
      <c r="FC79" s="359"/>
      <c r="FD79" s="359"/>
      <c r="FE79" s="362"/>
      <c r="FF79" s="362"/>
      <c r="FG79" s="362"/>
      <c r="FH79" s="387"/>
      <c r="FI79" s="364"/>
      <c r="FJ79" s="364"/>
      <c r="FK79" s="356"/>
      <c r="FL79" s="374"/>
      <c r="FM79" s="374"/>
      <c r="FN79" s="360"/>
      <c r="FO79" s="356"/>
      <c r="FP79" s="364"/>
      <c r="FQ79" s="364"/>
      <c r="FR79" s="356"/>
      <c r="FS79" s="374"/>
      <c r="FT79" s="374"/>
      <c r="FU79" s="356"/>
      <c r="FV79" s="360"/>
      <c r="FW79" s="364"/>
      <c r="FX79" s="364"/>
      <c r="FY79" s="364"/>
      <c r="FZ79" s="364"/>
      <c r="GA79" s="385"/>
      <c r="GB79" s="385"/>
      <c r="GC79" s="364"/>
      <c r="GD79" s="364"/>
      <c r="GE79" s="374"/>
      <c r="GF79" s="364"/>
      <c r="GG79" s="364"/>
      <c r="GH79" s="364"/>
      <c r="GI79" s="364"/>
      <c r="GJ79" s="356"/>
      <c r="GK79" s="356"/>
      <c r="GL79" s="360"/>
      <c r="GM79" s="356"/>
      <c r="GN79" s="361"/>
      <c r="GO79" s="355"/>
      <c r="GP79" s="364"/>
      <c r="GQ79" s="364"/>
      <c r="GR79" s="361"/>
    </row>
    <row r="80" spans="1:200" ht="13.5" customHeight="1" x14ac:dyDescent="0.2">
      <c r="A80" s="362"/>
      <c r="B80" s="362"/>
      <c r="C80" s="362"/>
      <c r="D80" s="362"/>
      <c r="E80" s="362"/>
      <c r="F80" s="362"/>
      <c r="G80" s="362"/>
      <c r="H80" s="362"/>
      <c r="I80" s="362"/>
      <c r="J80" s="362"/>
      <c r="K80" s="362"/>
      <c r="L80" s="362"/>
      <c r="M80" s="362"/>
      <c r="N80" s="362"/>
      <c r="O80" s="362"/>
      <c r="P80" s="362"/>
      <c r="Q80" s="362"/>
      <c r="R80" s="362"/>
      <c r="S80" s="360"/>
      <c r="T80" s="360"/>
      <c r="U80" s="360"/>
      <c r="V80" s="374"/>
      <c r="W80" s="374"/>
      <c r="X80" s="363"/>
      <c r="Y80" s="388"/>
      <c r="Z80" s="374"/>
      <c r="AA80" s="374"/>
      <c r="AB80" s="360"/>
      <c r="AC80" s="374"/>
      <c r="AD80" s="356"/>
      <c r="AE80" s="354"/>
      <c r="AF80" s="354"/>
      <c r="AG80" s="354"/>
      <c r="AH80" s="354"/>
      <c r="AI80" s="380"/>
      <c r="AJ80" s="354"/>
      <c r="AK80" s="354"/>
      <c r="AL80" s="357"/>
      <c r="AM80" s="354"/>
      <c r="AN80" s="369"/>
      <c r="AO80" s="354"/>
      <c r="AP80" s="357"/>
      <c r="AQ80" s="354"/>
      <c r="AR80" s="357"/>
      <c r="AS80" s="354"/>
      <c r="AT80" s="381"/>
      <c r="AU80" s="380"/>
      <c r="AV80" s="354"/>
      <c r="AW80" s="357"/>
      <c r="AX80" s="362"/>
      <c r="AY80" s="387"/>
      <c r="AZ80" s="361"/>
      <c r="BA80" s="361"/>
      <c r="BB80" s="362"/>
      <c r="BC80" s="362"/>
      <c r="BD80" s="362"/>
      <c r="BE80" s="362"/>
      <c r="BF80" s="361"/>
      <c r="BG80" s="355"/>
      <c r="BH80" s="360"/>
      <c r="BI80" s="364"/>
      <c r="BJ80" s="364"/>
      <c r="BK80" s="364"/>
      <c r="BL80" s="364"/>
      <c r="BM80" s="364"/>
      <c r="BN80" s="364"/>
      <c r="BO80" s="364"/>
      <c r="BP80" s="374"/>
      <c r="BQ80" s="385"/>
      <c r="BR80" s="374"/>
      <c r="BS80" s="374"/>
      <c r="BT80" s="364"/>
      <c r="BU80" s="354"/>
      <c r="BV80" s="354"/>
      <c r="BW80" s="393"/>
      <c r="BX80" s="393"/>
      <c r="BY80" s="393"/>
      <c r="BZ80" s="393"/>
      <c r="CA80" s="393"/>
      <c r="CB80" s="393"/>
      <c r="CC80" s="354"/>
      <c r="CD80" s="354"/>
      <c r="CE80" s="393"/>
      <c r="CF80" s="354"/>
      <c r="CG80" s="354"/>
      <c r="CH80" s="354"/>
      <c r="CI80" s="393"/>
      <c r="CJ80" s="393"/>
      <c r="CK80" s="393"/>
      <c r="CL80" s="393"/>
      <c r="CM80" s="393"/>
      <c r="CN80" s="393"/>
      <c r="CO80" s="393"/>
      <c r="CP80" s="393"/>
      <c r="CQ80" s="393"/>
      <c r="CR80" s="393"/>
      <c r="CS80" s="393"/>
      <c r="CT80" s="393"/>
      <c r="CU80" s="393"/>
      <c r="CV80" s="393"/>
      <c r="CW80" s="393"/>
      <c r="CX80" s="393"/>
      <c r="CY80" s="393"/>
      <c r="CZ80" s="393"/>
      <c r="DA80" s="393"/>
      <c r="DB80" s="393"/>
      <c r="DC80" s="393"/>
      <c r="DD80" s="393"/>
      <c r="DE80" s="354"/>
      <c r="DF80" s="354"/>
      <c r="DG80" s="354"/>
      <c r="DH80" s="393"/>
      <c r="DI80" s="393"/>
      <c r="DJ80" s="393"/>
      <c r="DK80" s="393"/>
      <c r="DL80" s="393"/>
      <c r="DM80" s="393"/>
      <c r="DN80" s="395"/>
      <c r="DO80" s="393"/>
      <c r="DP80" s="395"/>
      <c r="DQ80" s="395"/>
      <c r="DR80" s="395"/>
      <c r="DS80" s="393"/>
      <c r="DT80" s="393"/>
      <c r="DU80" s="393"/>
      <c r="DV80" s="393"/>
      <c r="DW80" s="393"/>
      <c r="DX80" s="393"/>
      <c r="DY80" s="393"/>
      <c r="DZ80" s="393"/>
      <c r="EA80" s="354"/>
      <c r="EB80" s="361"/>
      <c r="EC80" s="360"/>
      <c r="ED80" s="361"/>
      <c r="EE80" s="362"/>
      <c r="EF80" s="362"/>
      <c r="EG80" s="361"/>
      <c r="EH80" s="361"/>
      <c r="EI80" s="362"/>
      <c r="EJ80" s="361"/>
      <c r="EK80" s="361"/>
      <c r="EL80" s="355"/>
      <c r="EM80" s="358"/>
      <c r="EN80" s="362"/>
      <c r="EO80" s="361"/>
      <c r="EP80" s="361"/>
      <c r="EQ80" s="360"/>
      <c r="ER80" s="360"/>
      <c r="ES80" s="355"/>
      <c r="ET80" s="356"/>
      <c r="EU80" s="355"/>
      <c r="EV80" s="361"/>
      <c r="EW80" s="361"/>
      <c r="EX80" s="361"/>
      <c r="EY80" s="362"/>
      <c r="EZ80" s="362"/>
      <c r="FA80" s="358"/>
      <c r="FB80" s="358"/>
      <c r="FC80" s="359"/>
      <c r="FD80" s="359"/>
      <c r="FE80" s="362"/>
      <c r="FF80" s="362"/>
      <c r="FG80" s="387"/>
      <c r="FH80" s="364"/>
      <c r="FI80" s="364"/>
      <c r="FJ80" s="355"/>
      <c r="FK80" s="385"/>
      <c r="FL80" s="374"/>
      <c r="FM80" s="364"/>
      <c r="FN80" s="364"/>
      <c r="FO80" s="364"/>
      <c r="FP80" s="364"/>
      <c r="FQ80" s="356"/>
      <c r="FR80" s="364"/>
      <c r="FS80" s="385"/>
      <c r="FT80" s="355"/>
      <c r="FU80" s="356"/>
      <c r="FV80" s="364"/>
      <c r="FW80" s="364"/>
      <c r="FX80" s="364"/>
      <c r="FY80" s="364"/>
      <c r="FZ80" s="364"/>
      <c r="GA80" s="364"/>
      <c r="GB80" s="360"/>
      <c r="GC80" s="364"/>
      <c r="GD80" s="364"/>
      <c r="GE80" s="364"/>
      <c r="GF80" s="364"/>
      <c r="GG80" s="364"/>
      <c r="GH80" s="364"/>
      <c r="GI80" s="361"/>
      <c r="GJ80" s="361"/>
      <c r="GK80" s="364"/>
      <c r="GL80" s="360"/>
      <c r="GM80" s="356"/>
      <c r="GN80" s="356"/>
      <c r="GO80" s="364"/>
      <c r="GP80" s="364"/>
      <c r="GQ80" s="361"/>
      <c r="GR80" s="361"/>
    </row>
    <row r="81" spans="1:200" ht="13.5" customHeight="1" x14ac:dyDescent="0.2">
      <c r="A81" s="362"/>
      <c r="B81" s="362"/>
      <c r="C81" s="362"/>
      <c r="D81" s="362"/>
      <c r="E81" s="362"/>
      <c r="F81" s="362"/>
      <c r="G81" s="362"/>
      <c r="H81" s="362"/>
      <c r="I81" s="362"/>
      <c r="J81" s="362"/>
      <c r="K81" s="362"/>
      <c r="L81" s="362"/>
      <c r="M81" s="361"/>
      <c r="N81" s="362"/>
      <c r="O81" s="362"/>
      <c r="P81" s="362"/>
      <c r="Q81" s="362"/>
      <c r="R81" s="362"/>
      <c r="S81" s="387"/>
      <c r="T81" s="356"/>
      <c r="U81" s="363"/>
      <c r="V81" s="363"/>
      <c r="W81" s="374"/>
      <c r="X81" s="374"/>
      <c r="Y81" s="374"/>
      <c r="Z81" s="388"/>
      <c r="AA81" s="388"/>
      <c r="AB81" s="374"/>
      <c r="AC81" s="363"/>
      <c r="AD81" s="363"/>
      <c r="AE81" s="356"/>
      <c r="AF81" s="354"/>
      <c r="AG81" s="380"/>
      <c r="AH81" s="354"/>
      <c r="AI81" s="357"/>
      <c r="AJ81" s="354"/>
      <c r="AK81" s="354"/>
      <c r="AL81" s="357"/>
      <c r="AM81" s="354"/>
      <c r="AN81" s="369"/>
      <c r="AO81" s="354"/>
      <c r="AP81" s="357"/>
      <c r="AQ81" s="354"/>
      <c r="AR81" s="380"/>
      <c r="AS81" s="354"/>
      <c r="AT81" s="380"/>
      <c r="AU81" s="380"/>
      <c r="AV81" s="357"/>
      <c r="AW81" s="361"/>
      <c r="AX81" s="361"/>
      <c r="AY81" s="362"/>
      <c r="AZ81" s="362"/>
      <c r="BA81" s="362"/>
      <c r="BB81" s="362"/>
      <c r="BC81" s="362"/>
      <c r="BD81" s="362"/>
      <c r="BE81" s="362"/>
      <c r="BF81" s="361"/>
      <c r="BG81" s="355"/>
      <c r="BH81" s="360"/>
      <c r="BI81" s="364"/>
      <c r="BJ81" s="360"/>
      <c r="BK81" s="364"/>
      <c r="BL81" s="364"/>
      <c r="BM81" s="374"/>
      <c r="BN81" s="374"/>
      <c r="BO81" s="374"/>
      <c r="BP81" s="374"/>
      <c r="BQ81" s="374"/>
      <c r="BR81" s="385"/>
      <c r="BS81" s="385"/>
      <c r="BT81" s="377"/>
      <c r="BU81" s="354"/>
      <c r="BV81" s="393"/>
      <c r="BW81" s="393"/>
      <c r="BX81" s="393"/>
      <c r="BY81" s="393"/>
      <c r="BZ81" s="393"/>
      <c r="CA81" s="393"/>
      <c r="CB81" s="393"/>
      <c r="CC81" s="393"/>
      <c r="CD81" s="393"/>
      <c r="CE81" s="393"/>
      <c r="CF81" s="354"/>
      <c r="CG81" s="354"/>
      <c r="CH81" s="354"/>
      <c r="CI81" s="393"/>
      <c r="CJ81" s="393"/>
      <c r="CK81" s="393"/>
      <c r="CL81" s="393"/>
      <c r="CM81" s="393"/>
      <c r="CN81" s="393"/>
      <c r="CO81" s="393"/>
      <c r="CP81" s="393"/>
      <c r="CQ81" s="393"/>
      <c r="CR81" s="393"/>
      <c r="CS81" s="393"/>
      <c r="CT81" s="393"/>
      <c r="CU81" s="393"/>
      <c r="CV81" s="393"/>
      <c r="CW81" s="393"/>
      <c r="CX81" s="393"/>
      <c r="CY81" s="393"/>
      <c r="CZ81" s="393"/>
      <c r="DA81" s="393"/>
      <c r="DB81" s="393"/>
      <c r="DC81" s="393"/>
      <c r="DD81" s="393"/>
      <c r="DE81" s="393"/>
      <c r="DF81" s="393"/>
      <c r="DG81" s="393"/>
      <c r="DH81" s="393"/>
      <c r="DI81" s="393"/>
      <c r="DJ81" s="393"/>
      <c r="DK81" s="393"/>
      <c r="DL81" s="395"/>
      <c r="DM81" s="395"/>
      <c r="DN81" s="393"/>
      <c r="DO81" s="393"/>
      <c r="DP81" s="395"/>
      <c r="DQ81" s="395"/>
      <c r="DR81" s="395"/>
      <c r="DS81" s="393"/>
      <c r="DT81" s="393"/>
      <c r="DU81" s="393"/>
      <c r="DV81" s="393"/>
      <c r="DW81" s="393"/>
      <c r="DX81" s="393"/>
      <c r="DY81" s="393"/>
      <c r="DZ81" s="393"/>
      <c r="EA81" s="354"/>
      <c r="EB81" s="355"/>
      <c r="EC81" s="361"/>
      <c r="ED81" s="361"/>
      <c r="EE81" s="361"/>
      <c r="EF81" s="362"/>
      <c r="EG81" s="361"/>
      <c r="EH81" s="361"/>
      <c r="EI81" s="362"/>
      <c r="EJ81" s="361"/>
      <c r="EK81" s="362"/>
      <c r="EL81" s="362"/>
      <c r="EM81" s="362"/>
      <c r="EN81" s="361"/>
      <c r="EO81" s="362"/>
      <c r="EP81" s="362"/>
      <c r="EQ81" s="360"/>
      <c r="ER81" s="361"/>
      <c r="ES81" s="355"/>
      <c r="ET81" s="355"/>
      <c r="EU81" s="355"/>
      <c r="EV81" s="360"/>
      <c r="EW81" s="361"/>
      <c r="EX81" s="361"/>
      <c r="EY81" s="361"/>
      <c r="EZ81" s="358"/>
      <c r="FA81" s="359"/>
      <c r="FB81" s="359"/>
      <c r="FC81" s="359"/>
      <c r="FD81" s="362"/>
      <c r="FE81" s="362"/>
      <c r="FF81" s="362"/>
      <c r="FG81" s="364"/>
      <c r="FH81" s="374"/>
      <c r="FI81" s="364"/>
      <c r="FJ81" s="355"/>
      <c r="FK81" s="385"/>
      <c r="FL81" s="364"/>
      <c r="FM81" s="356"/>
      <c r="FN81" s="364"/>
      <c r="FO81" s="364"/>
      <c r="FP81" s="356"/>
      <c r="FQ81" s="364"/>
      <c r="FR81" s="364"/>
      <c r="FS81" s="356"/>
      <c r="FT81" s="355"/>
      <c r="FU81" s="364"/>
      <c r="FV81" s="364"/>
      <c r="FW81" s="364"/>
      <c r="FX81" s="356"/>
      <c r="FY81" s="364"/>
      <c r="FZ81" s="364"/>
      <c r="GA81" s="360"/>
      <c r="GB81" s="364"/>
      <c r="GC81" s="364"/>
      <c r="GD81" s="364"/>
      <c r="GE81" s="364"/>
      <c r="GF81" s="364"/>
      <c r="GG81" s="364"/>
      <c r="GH81" s="356"/>
      <c r="GI81" s="361"/>
      <c r="GJ81" s="360"/>
      <c r="GK81" s="356"/>
      <c r="GL81" s="356"/>
      <c r="GM81" s="374"/>
      <c r="GN81" s="364"/>
      <c r="GO81" s="364"/>
      <c r="GP81" s="356"/>
      <c r="GQ81" s="385"/>
      <c r="GR81" s="364"/>
    </row>
    <row r="82" spans="1:200" ht="13.5" customHeight="1" x14ac:dyDescent="0.2">
      <c r="A82" s="355"/>
      <c r="B82" s="362"/>
      <c r="C82" s="362"/>
      <c r="D82" s="362"/>
      <c r="E82" s="362"/>
      <c r="F82" s="362"/>
      <c r="G82" s="362"/>
      <c r="H82" s="362"/>
      <c r="I82" s="359"/>
      <c r="J82" s="359"/>
      <c r="K82" s="359"/>
      <c r="L82" s="362"/>
      <c r="M82" s="362"/>
      <c r="N82" s="362"/>
      <c r="O82" s="362"/>
      <c r="P82" s="362"/>
      <c r="Q82" s="362"/>
      <c r="R82" s="362"/>
      <c r="S82" s="387"/>
      <c r="T82" s="360"/>
      <c r="U82" s="363"/>
      <c r="V82" s="363"/>
      <c r="W82" s="363"/>
      <c r="X82" s="363"/>
      <c r="Y82" s="363"/>
      <c r="Z82" s="384"/>
      <c r="AA82" s="363"/>
      <c r="AB82" s="363"/>
      <c r="AC82" s="374"/>
      <c r="AD82" s="380"/>
      <c r="AE82" s="355"/>
      <c r="AF82" s="354"/>
      <c r="AG82" s="380"/>
      <c r="AH82" s="354"/>
      <c r="AI82" s="354"/>
      <c r="AJ82" s="357"/>
      <c r="AK82" s="354"/>
      <c r="AL82" s="380"/>
      <c r="AM82" s="354"/>
      <c r="AN82" s="369"/>
      <c r="AO82" s="354"/>
      <c r="AP82" s="357"/>
      <c r="AQ82" s="354"/>
      <c r="AR82" s="357"/>
      <c r="AS82" s="354"/>
      <c r="AT82" s="381"/>
      <c r="AU82" s="380"/>
      <c r="AV82" s="357"/>
      <c r="AW82" s="361"/>
      <c r="AX82" s="362"/>
      <c r="AY82" s="362"/>
      <c r="AZ82" s="362"/>
      <c r="BA82" s="362"/>
      <c r="BB82" s="361"/>
      <c r="BC82" s="361"/>
      <c r="BD82" s="362"/>
      <c r="BE82" s="361"/>
      <c r="BF82" s="370"/>
      <c r="BG82" s="364"/>
      <c r="BH82" s="356"/>
      <c r="BI82" s="360"/>
      <c r="BJ82" s="356"/>
      <c r="BK82" s="364"/>
      <c r="BL82" s="364"/>
      <c r="BM82" s="374"/>
      <c r="BN82" s="374"/>
      <c r="BO82" s="374"/>
      <c r="BP82" s="374"/>
      <c r="BQ82" s="374"/>
      <c r="BR82" s="374"/>
      <c r="BS82" s="374"/>
      <c r="BT82" s="374"/>
      <c r="BU82" s="354"/>
      <c r="BV82" s="393"/>
      <c r="BW82" s="393"/>
      <c r="BX82" s="393"/>
      <c r="BY82" s="393"/>
      <c r="BZ82" s="393"/>
      <c r="CA82" s="393"/>
      <c r="CB82" s="393"/>
      <c r="CC82" s="393"/>
      <c r="CD82" s="393"/>
      <c r="CE82" s="393"/>
      <c r="CF82" s="354"/>
      <c r="CG82" s="354"/>
      <c r="CH82" s="354"/>
      <c r="CI82" s="393"/>
      <c r="CJ82" s="393"/>
      <c r="CK82" s="393"/>
      <c r="CL82" s="393"/>
      <c r="CM82" s="393"/>
      <c r="CN82" s="393"/>
      <c r="CO82" s="393"/>
      <c r="CP82" s="393"/>
      <c r="CQ82" s="395"/>
      <c r="CR82" s="393"/>
      <c r="CS82" s="393"/>
      <c r="CT82" s="393"/>
      <c r="CU82" s="393"/>
      <c r="CV82" s="393"/>
      <c r="CW82" s="393"/>
      <c r="CX82" s="393"/>
      <c r="CY82" s="393"/>
      <c r="CZ82" s="393"/>
      <c r="DA82" s="393"/>
      <c r="DB82" s="393"/>
      <c r="DC82" s="393"/>
      <c r="DD82" s="393"/>
      <c r="DE82" s="393"/>
      <c r="DF82" s="393"/>
      <c r="DG82" s="393"/>
      <c r="DH82" s="393"/>
      <c r="DI82" s="393"/>
      <c r="DJ82" s="393"/>
      <c r="DK82" s="393"/>
      <c r="DL82" s="395"/>
      <c r="DM82" s="395"/>
      <c r="DN82" s="393"/>
      <c r="DO82" s="393"/>
      <c r="DP82" s="395"/>
      <c r="DQ82" s="395"/>
      <c r="DR82" s="395"/>
      <c r="DS82" s="393"/>
      <c r="DT82" s="393"/>
      <c r="DU82" s="393"/>
      <c r="DV82" s="393"/>
      <c r="DW82" s="393"/>
      <c r="DX82" s="393"/>
      <c r="DY82" s="393"/>
      <c r="DZ82" s="393"/>
      <c r="EA82" s="354"/>
      <c r="EB82" s="355"/>
      <c r="EC82" s="361"/>
      <c r="ED82" s="362"/>
      <c r="EE82" s="361"/>
      <c r="EF82" s="361"/>
      <c r="EG82" s="358"/>
      <c r="EH82" s="362"/>
      <c r="EI82" s="362"/>
      <c r="EJ82" s="362"/>
      <c r="EK82" s="362"/>
      <c r="EL82" s="361"/>
      <c r="EM82" s="362"/>
      <c r="EN82" s="361"/>
      <c r="EO82" s="362"/>
      <c r="EP82" s="361"/>
      <c r="EQ82" s="361"/>
      <c r="ER82" s="359"/>
      <c r="ES82" s="356"/>
      <c r="ET82" s="355"/>
      <c r="EU82" s="355"/>
      <c r="EV82" s="364"/>
      <c r="EW82" s="362"/>
      <c r="EX82" s="361"/>
      <c r="EY82" s="362"/>
      <c r="EZ82" s="358"/>
      <c r="FA82" s="358"/>
      <c r="FB82" s="359"/>
      <c r="FC82" s="359"/>
      <c r="FD82" s="362"/>
      <c r="FE82" s="361"/>
      <c r="FF82" s="364"/>
      <c r="FG82" s="374"/>
      <c r="FH82" s="385"/>
      <c r="FI82" s="355"/>
      <c r="FJ82" s="364"/>
      <c r="FK82" s="385"/>
      <c r="FL82" s="364"/>
      <c r="FM82" s="364"/>
      <c r="FN82" s="364"/>
      <c r="FO82" s="356"/>
      <c r="FP82" s="364"/>
      <c r="FQ82" s="364"/>
      <c r="FR82" s="356"/>
      <c r="FS82" s="355"/>
      <c r="FT82" s="364"/>
      <c r="FU82" s="364"/>
      <c r="FV82" s="364"/>
      <c r="FW82" s="356"/>
      <c r="FX82" s="356"/>
      <c r="FY82" s="364"/>
      <c r="FZ82" s="360"/>
      <c r="GA82" s="364"/>
      <c r="GB82" s="364"/>
      <c r="GC82" s="364"/>
      <c r="GD82" s="361"/>
      <c r="GE82" s="360"/>
      <c r="GF82" s="364"/>
      <c r="GG82" s="356"/>
      <c r="GH82" s="360"/>
      <c r="GI82" s="361"/>
      <c r="GJ82" s="361"/>
      <c r="GK82" s="364"/>
      <c r="GL82" s="364"/>
      <c r="GM82" s="374"/>
      <c r="GN82" s="374"/>
      <c r="GO82" s="385"/>
      <c r="GP82" s="385"/>
      <c r="GQ82" s="364"/>
      <c r="GR82" s="364"/>
    </row>
    <row r="83" spans="1:200" ht="13.5" customHeight="1" x14ac:dyDescent="0.2">
      <c r="A83" s="362"/>
      <c r="B83" s="362"/>
      <c r="C83" s="362"/>
      <c r="D83" s="362"/>
      <c r="E83" s="362"/>
      <c r="F83" s="362"/>
      <c r="G83" s="362"/>
      <c r="H83" s="362"/>
      <c r="I83" s="362"/>
      <c r="J83" s="359"/>
      <c r="K83" s="359"/>
      <c r="L83" s="362"/>
      <c r="M83" s="361"/>
      <c r="N83" s="362"/>
      <c r="O83" s="362"/>
      <c r="P83" s="362"/>
      <c r="Q83" s="362"/>
      <c r="R83" s="362"/>
      <c r="S83" s="362"/>
      <c r="T83" s="362"/>
      <c r="U83" s="360"/>
      <c r="V83" s="363"/>
      <c r="W83" s="363"/>
      <c r="X83" s="363"/>
      <c r="Y83" s="363"/>
      <c r="Z83" s="363"/>
      <c r="AA83" s="363"/>
      <c r="AB83" s="360"/>
      <c r="AC83" s="360"/>
      <c r="AD83" s="380"/>
      <c r="AE83" s="369"/>
      <c r="AF83" s="354"/>
      <c r="AG83" s="354"/>
      <c r="AH83" s="354"/>
      <c r="AI83" s="354"/>
      <c r="AJ83" s="357"/>
      <c r="AK83" s="354"/>
      <c r="AL83" s="357"/>
      <c r="AM83" s="354"/>
      <c r="AN83" s="369"/>
      <c r="AO83" s="354"/>
      <c r="AP83" s="357"/>
      <c r="AQ83" s="354"/>
      <c r="AR83" s="357"/>
      <c r="AS83" s="354"/>
      <c r="AT83" s="354"/>
      <c r="AU83" s="369"/>
      <c r="AV83" s="354"/>
      <c r="AW83" s="362"/>
      <c r="AX83" s="362"/>
      <c r="AY83" s="361"/>
      <c r="AZ83" s="361"/>
      <c r="BA83" s="361"/>
      <c r="BB83" s="361"/>
      <c r="BC83" s="362"/>
      <c r="BD83" s="362"/>
      <c r="BE83" s="370"/>
      <c r="BF83" s="370"/>
      <c r="BG83" s="364"/>
      <c r="BH83" s="356"/>
      <c r="BI83" s="356"/>
      <c r="BJ83" s="356"/>
      <c r="BK83" s="364"/>
      <c r="BL83" s="374"/>
      <c r="BM83" s="374"/>
      <c r="BN83" s="364"/>
      <c r="BO83" s="374"/>
      <c r="BP83" s="374"/>
      <c r="BQ83" s="374"/>
      <c r="BR83" s="374"/>
      <c r="BS83" s="374"/>
      <c r="BT83" s="374"/>
      <c r="BU83" s="354"/>
      <c r="BV83" s="393"/>
      <c r="BW83" s="393"/>
      <c r="BX83" s="393"/>
      <c r="BY83" s="393"/>
      <c r="BZ83" s="393"/>
      <c r="CA83" s="393"/>
      <c r="CB83" s="393"/>
      <c r="CC83" s="393"/>
      <c r="CD83" s="393"/>
      <c r="CE83" s="396"/>
      <c r="CF83" s="354"/>
      <c r="CG83" s="354"/>
      <c r="CH83" s="354"/>
      <c r="CI83" s="393"/>
      <c r="CJ83" s="393"/>
      <c r="CK83" s="393"/>
      <c r="CL83" s="393"/>
      <c r="CM83" s="393"/>
      <c r="CN83" s="393"/>
      <c r="CO83" s="393"/>
      <c r="CP83" s="395"/>
      <c r="CQ83" s="395"/>
      <c r="CR83" s="395"/>
      <c r="CS83" s="393"/>
      <c r="CT83" s="393"/>
      <c r="CU83" s="395"/>
      <c r="CV83" s="395"/>
      <c r="CW83" s="395"/>
      <c r="CX83" s="393"/>
      <c r="CY83" s="393"/>
      <c r="CZ83" s="393"/>
      <c r="DA83" s="393"/>
      <c r="DB83" s="393"/>
      <c r="DC83" s="393"/>
      <c r="DD83" s="393"/>
      <c r="DE83" s="393"/>
      <c r="DF83" s="393"/>
      <c r="DG83" s="393"/>
      <c r="DH83" s="393"/>
      <c r="DI83" s="393"/>
      <c r="DJ83" s="393"/>
      <c r="DK83" s="393"/>
      <c r="DL83" s="395"/>
      <c r="DM83" s="395"/>
      <c r="DN83" s="393"/>
      <c r="DO83" s="393"/>
      <c r="DP83" s="395"/>
      <c r="DQ83" s="395"/>
      <c r="DR83" s="395"/>
      <c r="DS83" s="393"/>
      <c r="DT83" s="393"/>
      <c r="DU83" s="395"/>
      <c r="DV83" s="395"/>
      <c r="DW83" s="393"/>
      <c r="DX83" s="393"/>
      <c r="DY83" s="393"/>
      <c r="DZ83" s="393"/>
      <c r="EA83" s="354"/>
      <c r="EB83" s="361"/>
      <c r="EC83" s="362"/>
      <c r="ED83" s="361"/>
      <c r="EE83" s="361"/>
      <c r="EF83" s="361"/>
      <c r="EG83" s="361"/>
      <c r="EH83" s="362"/>
      <c r="EI83" s="362"/>
      <c r="EJ83" s="362"/>
      <c r="EK83" s="362"/>
      <c r="EL83" s="361"/>
      <c r="EM83" s="361"/>
      <c r="EN83" s="361"/>
      <c r="EO83" s="361"/>
      <c r="EP83" s="361"/>
      <c r="EQ83" s="362"/>
      <c r="ER83" s="361"/>
      <c r="ES83" s="356"/>
      <c r="ET83" s="355"/>
      <c r="EU83" s="360"/>
      <c r="EV83" s="355"/>
      <c r="EW83" s="362"/>
      <c r="EX83" s="361"/>
      <c r="EY83" s="358"/>
      <c r="EZ83" s="358"/>
      <c r="FA83" s="359"/>
      <c r="FB83" s="359"/>
      <c r="FC83" s="362"/>
      <c r="FD83" s="361"/>
      <c r="FE83" s="364"/>
      <c r="FF83" s="374"/>
      <c r="FG83" s="374"/>
      <c r="FH83" s="364"/>
      <c r="FI83" s="355"/>
      <c r="FJ83" s="364"/>
      <c r="FK83" s="364"/>
      <c r="FL83" s="364"/>
      <c r="FM83" s="374"/>
      <c r="FN83" s="364"/>
      <c r="FO83" s="360"/>
      <c r="FP83" s="364"/>
      <c r="FQ83" s="364"/>
      <c r="FR83" s="355"/>
      <c r="FS83" s="364"/>
      <c r="FT83" s="374"/>
      <c r="FU83" s="385"/>
      <c r="FV83" s="355"/>
      <c r="FW83" s="356"/>
      <c r="FX83" s="364"/>
      <c r="FY83" s="360"/>
      <c r="FZ83" s="364"/>
      <c r="GA83" s="364"/>
      <c r="GB83" s="360"/>
      <c r="GC83" s="361"/>
      <c r="GD83" s="364"/>
      <c r="GE83" s="364"/>
      <c r="GF83" s="364"/>
      <c r="GG83" s="356"/>
      <c r="GH83" s="361"/>
      <c r="GI83" s="361"/>
      <c r="GJ83" s="364"/>
      <c r="GK83" s="374"/>
      <c r="GL83" s="374"/>
      <c r="GM83" s="364"/>
      <c r="GN83" s="357"/>
      <c r="GO83" s="390"/>
      <c r="GP83" s="390"/>
      <c r="GQ83" s="357"/>
      <c r="GR83" s="357"/>
    </row>
    <row r="84" spans="1:200" ht="13.5" customHeight="1" x14ac:dyDescent="0.2">
      <c r="A84" s="361"/>
      <c r="B84" s="362"/>
      <c r="C84" s="362"/>
      <c r="D84" s="362"/>
      <c r="E84" s="359"/>
      <c r="F84" s="362"/>
      <c r="G84" s="361"/>
      <c r="H84" s="362"/>
      <c r="I84" s="362"/>
      <c r="J84" s="362"/>
      <c r="K84" s="361"/>
      <c r="L84" s="362"/>
      <c r="M84" s="362"/>
      <c r="N84" s="361"/>
      <c r="O84" s="361"/>
      <c r="P84" s="361"/>
      <c r="Q84" s="362"/>
      <c r="R84" s="361"/>
      <c r="S84" s="362"/>
      <c r="T84" s="362"/>
      <c r="U84" s="367"/>
      <c r="V84" s="363"/>
      <c r="W84" s="363"/>
      <c r="X84" s="363"/>
      <c r="Y84" s="360"/>
      <c r="Z84" s="363"/>
      <c r="AA84" s="363"/>
      <c r="AB84" s="360"/>
      <c r="AC84" s="356"/>
      <c r="AD84" s="380"/>
      <c r="AE84" s="369"/>
      <c r="AF84" s="369"/>
      <c r="AG84" s="354"/>
      <c r="AH84" s="354"/>
      <c r="AI84" s="354"/>
      <c r="AJ84" s="357"/>
      <c r="AK84" s="354"/>
      <c r="AL84" s="357"/>
      <c r="AM84" s="380"/>
      <c r="AN84" s="369"/>
      <c r="AO84" s="357"/>
      <c r="AP84" s="357"/>
      <c r="AQ84" s="354"/>
      <c r="AR84" s="380"/>
      <c r="AS84" s="354"/>
      <c r="AT84" s="354"/>
      <c r="AU84" s="380"/>
      <c r="AV84" s="358"/>
      <c r="AW84" s="362"/>
      <c r="AX84" s="362"/>
      <c r="AY84" s="361"/>
      <c r="AZ84" s="362"/>
      <c r="BA84" s="362"/>
      <c r="BB84" s="362"/>
      <c r="BC84" s="362"/>
      <c r="BD84" s="361"/>
      <c r="BE84" s="361"/>
      <c r="BF84" s="360"/>
      <c r="BG84" s="356"/>
      <c r="BH84" s="364"/>
      <c r="BI84" s="356"/>
      <c r="BJ84" s="364"/>
      <c r="BK84" s="364"/>
      <c r="BL84" s="374"/>
      <c r="BM84" s="364"/>
      <c r="BN84" s="364"/>
      <c r="BO84" s="374"/>
      <c r="BP84" s="374"/>
      <c r="BQ84" s="374"/>
      <c r="BR84" s="374"/>
      <c r="BS84" s="374"/>
      <c r="BT84" s="386"/>
      <c r="BU84" s="354"/>
      <c r="BV84" s="393"/>
      <c r="BW84" s="393"/>
      <c r="BX84" s="393"/>
      <c r="BY84" s="393"/>
      <c r="BZ84" s="393"/>
      <c r="CA84" s="393"/>
      <c r="CB84" s="393"/>
      <c r="CC84" s="393"/>
      <c r="CD84" s="393"/>
      <c r="CE84" s="396"/>
      <c r="CF84" s="354"/>
      <c r="CG84" s="354"/>
      <c r="CH84" s="354"/>
      <c r="CI84" s="393"/>
      <c r="CJ84" s="393"/>
      <c r="CK84" s="393"/>
      <c r="CL84" s="393"/>
      <c r="CM84" s="393"/>
      <c r="CN84" s="393"/>
      <c r="CO84" s="393"/>
      <c r="CP84" s="393"/>
      <c r="CQ84" s="395"/>
      <c r="CR84" s="395"/>
      <c r="CS84" s="393"/>
      <c r="CT84" s="395"/>
      <c r="CU84" s="395"/>
      <c r="CV84" s="395"/>
      <c r="CW84" s="395"/>
      <c r="CX84" s="395"/>
      <c r="CY84" s="393"/>
      <c r="CZ84" s="393"/>
      <c r="DA84" s="393"/>
      <c r="DB84" s="393"/>
      <c r="DC84" s="393"/>
      <c r="DD84" s="393"/>
      <c r="DE84" s="393"/>
      <c r="DF84" s="393"/>
      <c r="DG84" s="393"/>
      <c r="DH84" s="393"/>
      <c r="DI84" s="393"/>
      <c r="DJ84" s="393"/>
      <c r="DK84" s="395"/>
      <c r="DL84" s="395"/>
      <c r="DM84" s="393"/>
      <c r="DN84" s="393"/>
      <c r="DO84" s="395"/>
      <c r="DP84" s="395"/>
      <c r="DQ84" s="395"/>
      <c r="DR84" s="395"/>
      <c r="DS84" s="393"/>
      <c r="DT84" s="393"/>
      <c r="DU84" s="395"/>
      <c r="DV84" s="395"/>
      <c r="DW84" s="395"/>
      <c r="DX84" s="393"/>
      <c r="DY84" s="393"/>
      <c r="DZ84" s="393"/>
      <c r="EA84" s="354"/>
      <c r="EB84" s="354"/>
      <c r="EC84" s="355"/>
      <c r="ED84" s="362"/>
      <c r="EE84" s="361"/>
      <c r="EF84" s="361"/>
      <c r="EG84" s="361"/>
      <c r="EH84" s="360"/>
      <c r="EI84" s="362"/>
      <c r="EJ84" s="362"/>
      <c r="EK84" s="362"/>
      <c r="EL84" s="361"/>
      <c r="EM84" s="361"/>
      <c r="EN84" s="362"/>
      <c r="EO84" s="355"/>
      <c r="EP84" s="355"/>
      <c r="EQ84" s="361"/>
      <c r="ER84" s="355"/>
      <c r="ES84" s="355"/>
      <c r="ET84" s="361"/>
      <c r="EU84" s="361"/>
      <c r="EV84" s="355"/>
      <c r="EW84" s="361"/>
      <c r="EX84" s="362"/>
      <c r="EY84" s="358"/>
      <c r="EZ84" s="359"/>
      <c r="FA84" s="357"/>
      <c r="FB84" s="359"/>
      <c r="FC84" s="362"/>
      <c r="FD84" s="362"/>
      <c r="FE84" s="364"/>
      <c r="FF84" s="374"/>
      <c r="FG84" s="374"/>
      <c r="FH84" s="356"/>
      <c r="FI84" s="374"/>
      <c r="FJ84" s="364"/>
      <c r="FK84" s="364"/>
      <c r="FL84" s="364"/>
      <c r="FM84" s="374"/>
      <c r="FN84" s="364"/>
      <c r="FO84" s="364"/>
      <c r="FP84" s="364"/>
      <c r="FQ84" s="356"/>
      <c r="FR84" s="364"/>
      <c r="FS84" s="364"/>
      <c r="FT84" s="385"/>
      <c r="FU84" s="355"/>
      <c r="FV84" s="355"/>
      <c r="FW84" s="364"/>
      <c r="FX84" s="364"/>
      <c r="FY84" s="359"/>
      <c r="FZ84" s="358"/>
      <c r="GA84" s="360"/>
      <c r="GB84" s="361"/>
      <c r="GC84" s="364"/>
      <c r="GD84" s="364"/>
      <c r="GE84" s="364"/>
      <c r="GF84" s="364"/>
      <c r="GG84" s="356"/>
      <c r="GH84" s="355"/>
      <c r="GI84" s="364"/>
      <c r="GJ84" s="374"/>
      <c r="GK84" s="374"/>
      <c r="GL84" s="357"/>
      <c r="GM84" s="357"/>
      <c r="GN84" s="357"/>
      <c r="GO84" s="354"/>
      <c r="GP84" s="354"/>
      <c r="GQ84" s="354"/>
      <c r="GR84" s="354"/>
    </row>
    <row r="85" spans="1:200" ht="13.5" customHeight="1" x14ac:dyDescent="0.2">
      <c r="A85" s="362"/>
      <c r="B85" s="361"/>
      <c r="C85" s="362"/>
      <c r="D85" s="361"/>
      <c r="E85" s="359"/>
      <c r="F85" s="359"/>
      <c r="G85" s="359"/>
      <c r="H85" s="362"/>
      <c r="I85" s="362"/>
      <c r="J85" s="362"/>
      <c r="K85" s="362"/>
      <c r="L85" s="361"/>
      <c r="M85" s="361"/>
      <c r="N85" s="362"/>
      <c r="O85" s="362"/>
      <c r="P85" s="361"/>
      <c r="Q85" s="362"/>
      <c r="R85" s="362"/>
      <c r="S85" s="361"/>
      <c r="T85" s="362"/>
      <c r="U85" s="355"/>
      <c r="V85" s="357"/>
      <c r="W85" s="374"/>
      <c r="X85" s="360"/>
      <c r="Y85" s="360"/>
      <c r="Z85" s="364"/>
      <c r="AA85" s="355"/>
      <c r="AB85" s="355"/>
      <c r="AC85" s="355"/>
      <c r="AD85" s="381"/>
      <c r="AE85" s="381"/>
      <c r="AF85" s="369"/>
      <c r="AG85" s="354"/>
      <c r="AH85" s="354"/>
      <c r="AI85" s="354"/>
      <c r="AJ85" s="357"/>
      <c r="AK85" s="354"/>
      <c r="AL85" s="357"/>
      <c r="AM85" s="380"/>
      <c r="AN85" s="369"/>
      <c r="AO85" s="354"/>
      <c r="AP85" s="354"/>
      <c r="AQ85" s="357"/>
      <c r="AR85" s="357"/>
      <c r="AS85" s="354"/>
      <c r="AT85" s="354"/>
      <c r="AU85" s="380"/>
      <c r="AV85" s="357"/>
      <c r="AW85" s="362"/>
      <c r="AX85" s="362"/>
      <c r="AY85" s="362"/>
      <c r="AZ85" s="362"/>
      <c r="BA85" s="362"/>
      <c r="BB85" s="361"/>
      <c r="BC85" s="361"/>
      <c r="BD85" s="361"/>
      <c r="BE85" s="355"/>
      <c r="BF85" s="356"/>
      <c r="BG85" s="356"/>
      <c r="BH85" s="385"/>
      <c r="BI85" s="356"/>
      <c r="BJ85" s="374"/>
      <c r="BK85" s="374"/>
      <c r="BL85" s="374"/>
      <c r="BM85" s="374"/>
      <c r="BN85" s="374"/>
      <c r="BO85" s="374"/>
      <c r="BP85" s="374"/>
      <c r="BQ85" s="375"/>
      <c r="BR85" s="384"/>
      <c r="BS85" s="368"/>
      <c r="BT85" s="379"/>
      <c r="BU85" s="354"/>
      <c r="BV85" s="394"/>
      <c r="BW85" s="393"/>
      <c r="BX85" s="393"/>
      <c r="BY85" s="393"/>
      <c r="BZ85" s="393"/>
      <c r="CA85" s="393"/>
      <c r="CB85" s="393"/>
      <c r="CC85" s="393"/>
      <c r="CD85" s="393"/>
      <c r="CE85" s="396"/>
      <c r="CF85" s="354"/>
      <c r="CG85" s="354"/>
      <c r="CH85" s="354"/>
      <c r="CI85" s="393"/>
      <c r="CJ85" s="393"/>
      <c r="CK85" s="393"/>
      <c r="CL85" s="393"/>
      <c r="CM85" s="393"/>
      <c r="CN85" s="393"/>
      <c r="CO85" s="393"/>
      <c r="CP85" s="393"/>
      <c r="CQ85" s="395"/>
      <c r="CR85" s="393"/>
      <c r="CS85" s="393"/>
      <c r="CT85" s="395"/>
      <c r="CU85" s="395"/>
      <c r="CV85" s="395"/>
      <c r="CW85" s="395"/>
      <c r="CX85" s="395"/>
      <c r="CY85" s="393"/>
      <c r="CZ85" s="393"/>
      <c r="DA85" s="393"/>
      <c r="DB85" s="395"/>
      <c r="DC85" s="395"/>
      <c r="DD85" s="393"/>
      <c r="DE85" s="393"/>
      <c r="DF85" s="393"/>
      <c r="DG85" s="393"/>
      <c r="DH85" s="393"/>
      <c r="DI85" s="393"/>
      <c r="DJ85" s="393"/>
      <c r="DK85" s="395"/>
      <c r="DL85" s="395"/>
      <c r="DM85" s="393"/>
      <c r="DN85" s="393"/>
      <c r="DO85" s="395"/>
      <c r="DP85" s="395"/>
      <c r="DQ85" s="395"/>
      <c r="DR85" s="395"/>
      <c r="DS85" s="393"/>
      <c r="DT85" s="393"/>
      <c r="DU85" s="393"/>
      <c r="DV85" s="395"/>
      <c r="DW85" s="395"/>
      <c r="DX85" s="393"/>
      <c r="DY85" s="393"/>
      <c r="DZ85" s="393"/>
      <c r="EA85" s="354"/>
      <c r="EB85" s="354"/>
      <c r="EC85" s="361"/>
      <c r="ED85" s="361"/>
      <c r="EE85" s="361"/>
      <c r="EF85" s="360"/>
      <c r="EG85" s="360"/>
      <c r="EH85" s="361"/>
      <c r="EI85" s="361"/>
      <c r="EJ85" s="360"/>
      <c r="EK85" s="364"/>
      <c r="EL85" s="360"/>
      <c r="EM85" s="361"/>
      <c r="EN85" s="361"/>
      <c r="EO85" s="360"/>
      <c r="EP85" s="356"/>
      <c r="EQ85" s="356"/>
      <c r="ER85" s="361"/>
      <c r="ES85" s="361"/>
      <c r="ET85" s="361"/>
      <c r="EU85" s="358"/>
      <c r="EV85" s="355"/>
      <c r="EW85" s="361"/>
      <c r="EX85" s="362"/>
      <c r="EY85" s="359"/>
      <c r="EZ85" s="359"/>
      <c r="FA85" s="359"/>
      <c r="FB85" s="355"/>
      <c r="FC85" s="361"/>
      <c r="FD85" s="364"/>
      <c r="FE85" s="364"/>
      <c r="FF85" s="360"/>
      <c r="FG85" s="364"/>
      <c r="FH85" s="374"/>
      <c r="FI85" s="374"/>
      <c r="FJ85" s="364"/>
      <c r="FK85" s="364"/>
      <c r="FL85" s="374"/>
      <c r="FM85" s="364"/>
      <c r="FN85" s="364"/>
      <c r="FO85" s="364"/>
      <c r="FP85" s="364"/>
      <c r="FQ85" s="364"/>
      <c r="FR85" s="364"/>
      <c r="FS85" s="364"/>
      <c r="FT85" s="364"/>
      <c r="FU85" s="355"/>
      <c r="FV85" s="364"/>
      <c r="FW85" s="364"/>
      <c r="FX85" s="360"/>
      <c r="FY85" s="362"/>
      <c r="FZ85" s="361"/>
      <c r="GA85" s="361"/>
      <c r="GB85" s="364"/>
      <c r="GC85" s="364"/>
      <c r="GD85" s="364"/>
      <c r="GE85" s="364"/>
      <c r="GF85" s="357"/>
      <c r="GG85" s="385"/>
      <c r="GH85" s="385"/>
      <c r="GI85" s="354"/>
      <c r="GJ85" s="354"/>
      <c r="GK85" s="357"/>
      <c r="GL85" s="357"/>
      <c r="GM85" s="354"/>
      <c r="GN85" s="354"/>
      <c r="GO85" s="354"/>
      <c r="GP85" s="354"/>
      <c r="GQ85" s="354"/>
      <c r="GR85" s="354"/>
    </row>
    <row r="86" spans="1:200" ht="13.5" customHeight="1" x14ac:dyDescent="0.2">
      <c r="A86" s="362"/>
      <c r="B86" s="362"/>
      <c r="C86" s="362"/>
      <c r="D86" s="362"/>
      <c r="E86" s="362"/>
      <c r="F86" s="362"/>
      <c r="G86" s="362"/>
      <c r="H86" s="362"/>
      <c r="I86" s="362"/>
      <c r="J86" s="362"/>
      <c r="K86" s="362"/>
      <c r="L86" s="359"/>
      <c r="M86" s="359"/>
      <c r="N86" s="359"/>
      <c r="O86" s="362"/>
      <c r="P86" s="362"/>
      <c r="Q86" s="362"/>
      <c r="R86" s="362"/>
      <c r="S86" s="362"/>
      <c r="T86" s="361"/>
      <c r="U86" s="362"/>
      <c r="V86" s="362"/>
      <c r="W86" s="362"/>
      <c r="X86" s="362"/>
      <c r="Y86" s="362"/>
      <c r="Z86" s="361"/>
      <c r="AA86" s="361"/>
      <c r="AB86" s="361"/>
      <c r="AC86" s="357"/>
      <c r="AD86" s="381"/>
      <c r="AE86" s="381"/>
      <c r="AF86" s="380"/>
      <c r="AG86" s="354"/>
      <c r="AH86" s="357"/>
      <c r="AI86" s="354"/>
      <c r="AJ86" s="357"/>
      <c r="AK86" s="354"/>
      <c r="AL86" s="354"/>
      <c r="AM86" s="380"/>
      <c r="AN86" s="369"/>
      <c r="AO86" s="357"/>
      <c r="AP86" s="357"/>
      <c r="AQ86" s="354"/>
      <c r="AR86" s="354"/>
      <c r="AS86" s="357"/>
      <c r="AT86" s="354"/>
      <c r="AU86" s="380"/>
      <c r="AV86" s="357"/>
      <c r="AW86" s="362"/>
      <c r="AX86" s="362"/>
      <c r="AY86" s="362"/>
      <c r="AZ86" s="361"/>
      <c r="BA86" s="361"/>
      <c r="BB86" s="361"/>
      <c r="BC86" s="361"/>
      <c r="BD86" s="361"/>
      <c r="BE86" s="361"/>
      <c r="BF86" s="360"/>
      <c r="BG86" s="360"/>
      <c r="BH86" s="385"/>
      <c r="BI86" s="364"/>
      <c r="BJ86" s="364"/>
      <c r="BK86" s="374"/>
      <c r="BL86" s="374"/>
      <c r="BM86" s="374"/>
      <c r="BN86" s="364"/>
      <c r="BO86" s="374"/>
      <c r="BP86" s="374"/>
      <c r="BQ86" s="368"/>
      <c r="BR86" s="368"/>
      <c r="BS86" s="368"/>
      <c r="BT86" s="354"/>
      <c r="BU86" s="354"/>
      <c r="BV86" s="393"/>
      <c r="BW86" s="393"/>
      <c r="BX86" s="393"/>
      <c r="BY86" s="393"/>
      <c r="BZ86" s="393"/>
      <c r="CA86" s="393"/>
      <c r="CB86" s="393"/>
      <c r="CC86" s="393"/>
      <c r="CD86" s="393"/>
      <c r="CE86" s="354"/>
      <c r="CF86" s="354"/>
      <c r="CG86" s="354"/>
      <c r="CH86" s="354"/>
      <c r="CI86" s="393"/>
      <c r="CJ86" s="393"/>
      <c r="CK86" s="393"/>
      <c r="CL86" s="393"/>
      <c r="CM86" s="393"/>
      <c r="CN86" s="393"/>
      <c r="CO86" s="393"/>
      <c r="CP86" s="393"/>
      <c r="CQ86" s="393"/>
      <c r="CR86" s="393"/>
      <c r="CS86" s="393"/>
      <c r="CT86" s="395"/>
      <c r="CU86" s="395"/>
      <c r="CV86" s="395"/>
      <c r="CW86" s="395"/>
      <c r="CX86" s="393"/>
      <c r="CY86" s="393"/>
      <c r="CZ86" s="393"/>
      <c r="DA86" s="393"/>
      <c r="DB86" s="395"/>
      <c r="DC86" s="393"/>
      <c r="DD86" s="393"/>
      <c r="DE86" s="393"/>
      <c r="DF86" s="393"/>
      <c r="DG86" s="395"/>
      <c r="DH86" s="393"/>
      <c r="DI86" s="393"/>
      <c r="DJ86" s="393"/>
      <c r="DK86" s="395"/>
      <c r="DL86" s="395"/>
      <c r="DM86" s="393"/>
      <c r="DN86" s="393"/>
      <c r="DO86" s="395"/>
      <c r="DP86" s="395"/>
      <c r="DQ86" s="395"/>
      <c r="DR86" s="395"/>
      <c r="DS86" s="393"/>
      <c r="DT86" s="393"/>
      <c r="DU86" s="393"/>
      <c r="DV86" s="393"/>
      <c r="DW86" s="395"/>
      <c r="DX86" s="393"/>
      <c r="DY86" s="393"/>
      <c r="DZ86" s="393"/>
      <c r="EA86" s="393"/>
      <c r="EB86" s="354"/>
      <c r="EC86" s="361"/>
      <c r="ED86" s="361"/>
      <c r="EE86" s="361"/>
      <c r="EF86" s="355"/>
      <c r="EG86" s="361"/>
      <c r="EH86" s="361"/>
      <c r="EI86" s="361"/>
      <c r="EJ86" s="361"/>
      <c r="EK86" s="355"/>
      <c r="EL86" s="361"/>
      <c r="EM86" s="361"/>
      <c r="EN86" s="362"/>
      <c r="EO86" s="362"/>
      <c r="EP86" s="361"/>
      <c r="EQ86" s="361"/>
      <c r="ER86" s="361"/>
      <c r="ES86" s="355"/>
      <c r="ET86" s="355"/>
      <c r="EU86" s="361"/>
      <c r="EV86" s="361"/>
      <c r="EW86" s="362"/>
      <c r="EX86" s="362"/>
      <c r="EY86" s="359"/>
      <c r="EZ86" s="359"/>
      <c r="FA86" s="355"/>
      <c r="FB86" s="356"/>
      <c r="FC86" s="364"/>
      <c r="FD86" s="364"/>
      <c r="FE86" s="364"/>
      <c r="FF86" s="356"/>
      <c r="FG86" s="364"/>
      <c r="FH86" s="364"/>
      <c r="FI86" s="364"/>
      <c r="FJ86" s="364"/>
      <c r="FK86" s="374"/>
      <c r="FL86" s="363"/>
      <c r="FM86" s="374"/>
      <c r="FN86" s="374"/>
      <c r="FO86" s="364"/>
      <c r="FP86" s="364"/>
      <c r="FQ86" s="364"/>
      <c r="FR86" s="364"/>
      <c r="FS86" s="364"/>
      <c r="FT86" s="355"/>
      <c r="FU86" s="364"/>
      <c r="FV86" s="364"/>
      <c r="FW86" s="364"/>
      <c r="FX86" s="358"/>
      <c r="FY86" s="362"/>
      <c r="FZ86" s="361"/>
      <c r="GA86" s="362"/>
      <c r="GB86" s="360"/>
      <c r="GC86" s="361"/>
      <c r="GD86" s="360"/>
      <c r="GE86" s="357"/>
      <c r="GF86" s="357"/>
      <c r="GG86" s="357"/>
      <c r="GH86" s="354"/>
      <c r="GI86" s="357"/>
      <c r="GJ86" s="357"/>
      <c r="GK86" s="357"/>
      <c r="GL86" s="354"/>
      <c r="GM86" s="354"/>
      <c r="GN86" s="354"/>
      <c r="GO86" s="354"/>
      <c r="GP86" s="354"/>
      <c r="GQ86" s="357"/>
      <c r="GR86" s="354"/>
    </row>
    <row r="87" spans="1:200" ht="13.5" customHeight="1" x14ac:dyDescent="0.2">
      <c r="A87" s="362"/>
      <c r="B87" s="362"/>
      <c r="C87" s="362"/>
      <c r="D87" s="362"/>
      <c r="E87" s="362"/>
      <c r="F87" s="362"/>
      <c r="G87" s="362"/>
      <c r="H87" s="362"/>
      <c r="I87" s="362"/>
      <c r="J87" s="362"/>
      <c r="K87" s="362"/>
      <c r="L87" s="359"/>
      <c r="M87" s="357"/>
      <c r="N87" s="357"/>
      <c r="O87" s="359"/>
      <c r="P87" s="359"/>
      <c r="Q87" s="361"/>
      <c r="R87" s="362"/>
      <c r="S87" s="362"/>
      <c r="T87" s="362"/>
      <c r="U87" s="362"/>
      <c r="V87" s="362"/>
      <c r="W87" s="362"/>
      <c r="X87" s="362"/>
      <c r="Y87" s="362"/>
      <c r="Z87" s="362"/>
      <c r="AA87" s="362"/>
      <c r="AB87" s="361"/>
      <c r="AC87" s="380"/>
      <c r="AD87" s="381"/>
      <c r="AE87" s="381"/>
      <c r="AF87" s="369"/>
      <c r="AG87" s="354"/>
      <c r="AH87" s="357"/>
      <c r="AI87" s="354"/>
      <c r="AJ87" s="357"/>
      <c r="AK87" s="354"/>
      <c r="AL87" s="357"/>
      <c r="AM87" s="354"/>
      <c r="AN87" s="380"/>
      <c r="AO87" s="354"/>
      <c r="AP87" s="357"/>
      <c r="AQ87" s="354"/>
      <c r="AR87" s="354"/>
      <c r="AS87" s="357"/>
      <c r="AT87" s="354"/>
      <c r="AU87" s="354"/>
      <c r="AV87" s="357"/>
      <c r="AW87" s="362"/>
      <c r="AX87" s="361"/>
      <c r="AY87" s="361"/>
      <c r="AZ87" s="361"/>
      <c r="BA87" s="362"/>
      <c r="BB87" s="362"/>
      <c r="BC87" s="362"/>
      <c r="BD87" s="361"/>
      <c r="BE87" s="361"/>
      <c r="BF87" s="355"/>
      <c r="BG87" s="356"/>
      <c r="BH87" s="364"/>
      <c r="BI87" s="364"/>
      <c r="BJ87" s="364"/>
      <c r="BK87" s="374"/>
      <c r="BL87" s="374"/>
      <c r="BM87" s="374"/>
      <c r="BN87" s="374"/>
      <c r="BO87" s="374"/>
      <c r="BP87" s="374"/>
      <c r="BQ87" s="368"/>
      <c r="BR87" s="368"/>
      <c r="BS87" s="368"/>
      <c r="BT87" s="354"/>
      <c r="BU87" s="393"/>
      <c r="BV87" s="393"/>
      <c r="BW87" s="393"/>
      <c r="BX87" s="393"/>
      <c r="BY87" s="393"/>
      <c r="BZ87" s="393"/>
      <c r="CA87" s="393"/>
      <c r="CB87" s="393"/>
      <c r="CC87" s="393"/>
      <c r="CD87" s="393"/>
      <c r="CE87" s="354"/>
      <c r="CF87" s="354"/>
      <c r="CG87" s="354"/>
      <c r="CH87" s="354"/>
      <c r="CI87" s="393"/>
      <c r="CJ87" s="393"/>
      <c r="CK87" s="393"/>
      <c r="CL87" s="393"/>
      <c r="CM87" s="393"/>
      <c r="CN87" s="393"/>
      <c r="CO87" s="393"/>
      <c r="CP87" s="393"/>
      <c r="CQ87" s="393"/>
      <c r="CR87" s="393"/>
      <c r="CS87" s="393"/>
      <c r="CT87" s="395"/>
      <c r="CU87" s="395"/>
      <c r="CV87" s="395"/>
      <c r="CW87" s="395"/>
      <c r="CX87" s="393"/>
      <c r="CY87" s="393"/>
      <c r="CZ87" s="393"/>
      <c r="DA87" s="395"/>
      <c r="DB87" s="395"/>
      <c r="DC87" s="393"/>
      <c r="DD87" s="393"/>
      <c r="DE87" s="393"/>
      <c r="DF87" s="395"/>
      <c r="DG87" s="395"/>
      <c r="DH87" s="393"/>
      <c r="DI87" s="393"/>
      <c r="DJ87" s="393"/>
      <c r="DK87" s="395"/>
      <c r="DL87" s="393"/>
      <c r="DM87" s="393"/>
      <c r="DN87" s="395"/>
      <c r="DO87" s="395"/>
      <c r="DP87" s="395"/>
      <c r="DQ87" s="395"/>
      <c r="DR87" s="395"/>
      <c r="DS87" s="393"/>
      <c r="DT87" s="393"/>
      <c r="DU87" s="393"/>
      <c r="DV87" s="393"/>
      <c r="DW87" s="395"/>
      <c r="DX87" s="393"/>
      <c r="DY87" s="393"/>
      <c r="DZ87" s="393"/>
      <c r="EA87" s="393"/>
      <c r="EB87" s="354"/>
      <c r="EC87" s="361"/>
      <c r="ED87" s="355"/>
      <c r="EE87" s="362"/>
      <c r="EF87" s="355"/>
      <c r="EG87" s="362"/>
      <c r="EH87" s="362"/>
      <c r="EI87" s="361"/>
      <c r="EJ87" s="361"/>
      <c r="EK87" s="355"/>
      <c r="EL87" s="360"/>
      <c r="EM87" s="360"/>
      <c r="EN87" s="361"/>
      <c r="EO87" s="361"/>
      <c r="EP87" s="361"/>
      <c r="EQ87" s="361"/>
      <c r="ER87" s="361"/>
      <c r="ES87" s="355"/>
      <c r="ET87" s="361"/>
      <c r="EU87" s="362"/>
      <c r="EV87" s="362"/>
      <c r="EW87" s="362"/>
      <c r="EX87" s="359"/>
      <c r="EY87" s="355"/>
      <c r="EZ87" s="361"/>
      <c r="FA87" s="355"/>
      <c r="FB87" s="364"/>
      <c r="FC87" s="364"/>
      <c r="FD87" s="363"/>
      <c r="FE87" s="363"/>
      <c r="FF87" s="364"/>
      <c r="FG87" s="364"/>
      <c r="FH87" s="356"/>
      <c r="FI87" s="356"/>
      <c r="FJ87" s="385"/>
      <c r="FK87" s="364"/>
      <c r="FL87" s="364"/>
      <c r="FM87" s="374"/>
      <c r="FN87" s="364"/>
      <c r="FO87" s="364"/>
      <c r="FP87" s="364"/>
      <c r="FQ87" s="364"/>
      <c r="FR87" s="364"/>
      <c r="FS87" s="390"/>
      <c r="FT87" s="387"/>
      <c r="FU87" s="364"/>
      <c r="FV87" s="364"/>
      <c r="FW87" s="387"/>
      <c r="FX87" s="355"/>
      <c r="FY87" s="361"/>
      <c r="FZ87" s="362"/>
      <c r="GA87" s="360"/>
      <c r="GB87" s="360"/>
      <c r="GC87" s="355"/>
      <c r="GD87" s="364"/>
      <c r="GE87" s="357"/>
      <c r="GF87" s="357"/>
      <c r="GG87" s="354"/>
      <c r="GH87" s="354"/>
      <c r="GI87" s="390"/>
      <c r="GJ87" s="357"/>
      <c r="GK87" s="354"/>
      <c r="GL87" s="354"/>
      <c r="GM87" s="354"/>
      <c r="GN87" s="354"/>
      <c r="GO87" s="354"/>
      <c r="GP87" s="357"/>
      <c r="GQ87" s="354"/>
      <c r="GR87" s="354"/>
    </row>
    <row r="88" spans="1:200" ht="13.5" customHeight="1" x14ac:dyDescent="0.2">
      <c r="A88" s="362"/>
      <c r="B88" s="359"/>
      <c r="C88" s="359"/>
      <c r="D88" s="359"/>
      <c r="E88" s="362"/>
      <c r="F88" s="361"/>
      <c r="G88" s="362"/>
      <c r="H88" s="355"/>
      <c r="I88" s="361"/>
      <c r="J88" s="362"/>
      <c r="K88" s="362"/>
      <c r="L88" s="362"/>
      <c r="M88" s="362"/>
      <c r="N88" s="362"/>
      <c r="O88" s="362"/>
      <c r="P88" s="359"/>
      <c r="Q88" s="362"/>
      <c r="R88" s="362"/>
      <c r="S88" s="362"/>
      <c r="T88" s="362"/>
      <c r="U88" s="362"/>
      <c r="V88" s="362"/>
      <c r="W88" s="362"/>
      <c r="X88" s="362"/>
      <c r="Y88" s="362"/>
      <c r="Z88" s="362"/>
      <c r="AA88" s="362"/>
      <c r="AB88" s="361"/>
      <c r="AC88" s="381"/>
      <c r="AD88" s="380"/>
      <c r="AE88" s="357"/>
      <c r="AF88" s="369"/>
      <c r="AG88" s="354"/>
      <c r="AH88" s="357"/>
      <c r="AI88" s="354"/>
      <c r="AJ88" s="354"/>
      <c r="AK88" s="354"/>
      <c r="AL88" s="357"/>
      <c r="AM88" s="354"/>
      <c r="AN88" s="380"/>
      <c r="AO88" s="380"/>
      <c r="AP88" s="357"/>
      <c r="AQ88" s="380"/>
      <c r="AR88" s="354"/>
      <c r="AS88" s="357"/>
      <c r="AT88" s="354"/>
      <c r="AU88" s="354"/>
      <c r="AV88" s="357"/>
      <c r="AW88" s="362"/>
      <c r="AX88" s="362"/>
      <c r="AY88" s="362"/>
      <c r="AZ88" s="362"/>
      <c r="BA88" s="362"/>
      <c r="BB88" s="362"/>
      <c r="BC88" s="361"/>
      <c r="BD88" s="361"/>
      <c r="BE88" s="357"/>
      <c r="BF88" s="360"/>
      <c r="BG88" s="355"/>
      <c r="BH88" s="360"/>
      <c r="BI88" s="360"/>
      <c r="BJ88" s="364"/>
      <c r="BK88" s="374"/>
      <c r="BL88" s="374"/>
      <c r="BM88" s="374"/>
      <c r="BN88" s="364"/>
      <c r="BO88" s="374"/>
      <c r="BP88" s="375"/>
      <c r="BQ88" s="368"/>
      <c r="BR88" s="368"/>
      <c r="BS88" s="379"/>
      <c r="BT88" s="354"/>
      <c r="BU88" s="393"/>
      <c r="BV88" s="393"/>
      <c r="BW88" s="394"/>
      <c r="BX88" s="394"/>
      <c r="BY88" s="394"/>
      <c r="BZ88" s="394"/>
      <c r="CA88" s="394"/>
      <c r="CB88" s="394"/>
      <c r="CC88" s="394"/>
      <c r="CD88" s="394"/>
      <c r="CE88" s="354"/>
      <c r="CF88" s="354"/>
      <c r="CG88" s="354"/>
      <c r="CH88" s="354"/>
      <c r="CI88" s="393"/>
      <c r="CJ88" s="394"/>
      <c r="CK88" s="394"/>
      <c r="CL88" s="394"/>
      <c r="CM88" s="394"/>
      <c r="CN88" s="394"/>
      <c r="CO88" s="394"/>
      <c r="CP88" s="394"/>
      <c r="CQ88" s="394"/>
      <c r="CR88" s="394"/>
      <c r="CS88" s="394"/>
      <c r="CT88" s="394"/>
      <c r="CU88" s="395"/>
      <c r="CV88" s="395"/>
      <c r="CW88" s="394"/>
      <c r="CX88" s="394"/>
      <c r="CY88" s="394"/>
      <c r="CZ88" s="394"/>
      <c r="DA88" s="394"/>
      <c r="DB88" s="395"/>
      <c r="DC88" s="394"/>
      <c r="DD88" s="394"/>
      <c r="DE88" s="394"/>
      <c r="DF88" s="395"/>
      <c r="DG88" s="394"/>
      <c r="DH88" s="394"/>
      <c r="DI88" s="394"/>
      <c r="DJ88" s="394"/>
      <c r="DK88" s="395"/>
      <c r="DL88" s="394"/>
      <c r="DM88" s="394"/>
      <c r="DN88" s="395"/>
      <c r="DO88" s="395"/>
      <c r="DP88" s="394"/>
      <c r="DQ88" s="395"/>
      <c r="DR88" s="395"/>
      <c r="DS88" s="394"/>
      <c r="DT88" s="394"/>
      <c r="DU88" s="394"/>
      <c r="DV88" s="394"/>
      <c r="DW88" s="395"/>
      <c r="DX88" s="394"/>
      <c r="DY88" s="394"/>
      <c r="DZ88" s="394"/>
      <c r="EA88" s="394"/>
      <c r="EB88" s="354"/>
      <c r="EC88" s="355"/>
      <c r="ED88" s="361"/>
      <c r="EE88" s="355"/>
      <c r="EF88" s="362"/>
      <c r="EG88" s="361"/>
      <c r="EH88" s="362"/>
      <c r="EI88" s="362"/>
      <c r="EJ88" s="361"/>
      <c r="EK88" s="361"/>
      <c r="EL88" s="362"/>
      <c r="EM88" s="362"/>
      <c r="EN88" s="358"/>
      <c r="EO88" s="358"/>
      <c r="EP88" s="362"/>
      <c r="EQ88" s="362"/>
      <c r="ER88" s="358"/>
      <c r="ES88" s="355"/>
      <c r="ET88" s="355"/>
      <c r="EU88" s="361"/>
      <c r="EV88" s="362"/>
      <c r="EW88" s="362"/>
      <c r="EX88" s="362"/>
      <c r="EY88" s="355"/>
      <c r="EZ88" s="364"/>
      <c r="FA88" s="364"/>
      <c r="FB88" s="364"/>
      <c r="FC88" s="356"/>
      <c r="FD88" s="364"/>
      <c r="FE88" s="374"/>
      <c r="FF88" s="374"/>
      <c r="FG88" s="364"/>
      <c r="FH88" s="364"/>
      <c r="FI88" s="364"/>
      <c r="FJ88" s="356"/>
      <c r="FK88" s="360"/>
      <c r="FL88" s="364"/>
      <c r="FM88" s="364"/>
      <c r="FN88" s="364"/>
      <c r="FO88" s="364"/>
      <c r="FP88" s="356"/>
      <c r="FQ88" s="364"/>
      <c r="FR88" s="355"/>
      <c r="FS88" s="355"/>
      <c r="FT88" s="355"/>
      <c r="FU88" s="360"/>
      <c r="FV88" s="362"/>
      <c r="FW88" s="387"/>
      <c r="FX88" s="360"/>
      <c r="FY88" s="361"/>
      <c r="FZ88" s="361"/>
      <c r="GA88" s="361"/>
      <c r="GB88" s="361"/>
      <c r="GC88" s="360"/>
      <c r="GD88" s="361"/>
      <c r="GE88" s="361"/>
      <c r="GF88" s="354"/>
      <c r="GG88" s="354"/>
      <c r="GH88" s="357"/>
      <c r="GI88" s="354"/>
      <c r="GJ88" s="354"/>
      <c r="GK88" s="354"/>
      <c r="GL88" s="354"/>
      <c r="GM88" s="354"/>
      <c r="GN88" s="357"/>
      <c r="GO88" s="357"/>
      <c r="GP88" s="357"/>
      <c r="GQ88" s="357"/>
      <c r="GR88" s="354"/>
    </row>
    <row r="89" spans="1:200" ht="13.5" customHeight="1" x14ac:dyDescent="0.2">
      <c r="A89" s="362"/>
      <c r="B89" s="359"/>
      <c r="C89" s="359"/>
      <c r="D89" s="357"/>
      <c r="E89" s="359"/>
      <c r="F89" s="362"/>
      <c r="G89" s="362"/>
      <c r="H89" s="362"/>
      <c r="I89" s="362"/>
      <c r="J89" s="362"/>
      <c r="K89" s="362"/>
      <c r="L89" s="362"/>
      <c r="M89" s="362"/>
      <c r="N89" s="362"/>
      <c r="O89" s="362"/>
      <c r="P89" s="362"/>
      <c r="Q89" s="362"/>
      <c r="R89" s="362"/>
      <c r="S89" s="362"/>
      <c r="T89" s="362"/>
      <c r="U89" s="362"/>
      <c r="V89" s="362"/>
      <c r="W89" s="362"/>
      <c r="X89" s="362"/>
      <c r="Y89" s="362"/>
      <c r="Z89" s="362"/>
      <c r="AA89" s="362"/>
      <c r="AB89" s="354"/>
      <c r="AC89" s="381"/>
      <c r="AD89" s="380"/>
      <c r="AE89" s="354"/>
      <c r="AF89" s="381"/>
      <c r="AG89" s="354"/>
      <c r="AH89" s="354"/>
      <c r="AI89" s="354"/>
      <c r="AJ89" s="354"/>
      <c r="AK89" s="354"/>
      <c r="AL89" s="357"/>
      <c r="AM89" s="354"/>
      <c r="AN89" s="354"/>
      <c r="AO89" s="357"/>
      <c r="AP89" s="354"/>
      <c r="AQ89" s="390"/>
      <c r="AR89" s="354"/>
      <c r="AS89" s="357"/>
      <c r="AT89" s="354"/>
      <c r="AU89" s="354"/>
      <c r="AV89" s="357"/>
      <c r="AW89" s="362"/>
      <c r="AX89" s="362"/>
      <c r="AY89" s="362"/>
      <c r="AZ89" s="362"/>
      <c r="BA89" s="361"/>
      <c r="BB89" s="361"/>
      <c r="BC89" s="357"/>
      <c r="BD89" s="357"/>
      <c r="BE89" s="390"/>
      <c r="BF89" s="356"/>
      <c r="BG89" s="355"/>
      <c r="BH89" s="360"/>
      <c r="BI89" s="360"/>
      <c r="BJ89" s="364"/>
      <c r="BK89" s="374"/>
      <c r="BL89" s="374"/>
      <c r="BM89" s="364"/>
      <c r="BN89" s="364"/>
      <c r="BO89" s="375"/>
      <c r="BP89" s="375"/>
      <c r="BQ89" s="374"/>
      <c r="BR89" s="384"/>
      <c r="BS89" s="368"/>
      <c r="BT89" s="354"/>
      <c r="BU89" s="393"/>
      <c r="BV89" s="393"/>
      <c r="BW89" s="394"/>
      <c r="BX89" s="394"/>
      <c r="BY89" s="394"/>
      <c r="BZ89" s="394"/>
      <c r="CA89" s="394"/>
      <c r="CB89" s="394"/>
      <c r="CC89" s="394"/>
      <c r="CD89" s="394"/>
      <c r="CE89" s="354"/>
      <c r="CF89" s="354"/>
      <c r="CG89" s="354"/>
      <c r="CH89" s="354"/>
      <c r="CI89" s="354"/>
      <c r="CJ89" s="394"/>
      <c r="CK89" s="394"/>
      <c r="CL89" s="394"/>
      <c r="CM89" s="394"/>
      <c r="CN89" s="394"/>
      <c r="CO89" s="394"/>
      <c r="CP89" s="394"/>
      <c r="CQ89" s="394"/>
      <c r="CR89" s="394"/>
      <c r="CS89" s="394"/>
      <c r="CT89" s="394"/>
      <c r="CU89" s="394"/>
      <c r="CV89" s="394"/>
      <c r="CW89" s="394"/>
      <c r="CX89" s="394"/>
      <c r="CY89" s="394"/>
      <c r="CZ89" s="394"/>
      <c r="DA89" s="394"/>
      <c r="DB89" s="394"/>
      <c r="DC89" s="394"/>
      <c r="DD89" s="394"/>
      <c r="DE89" s="394"/>
      <c r="DF89" s="394"/>
      <c r="DG89" s="394"/>
      <c r="DH89" s="394"/>
      <c r="DI89" s="394"/>
      <c r="DJ89" s="394"/>
      <c r="DK89" s="394"/>
      <c r="DL89" s="394"/>
      <c r="DM89" s="394"/>
      <c r="DN89" s="394"/>
      <c r="DO89" s="394"/>
      <c r="DP89" s="394"/>
      <c r="DQ89" s="394"/>
      <c r="DR89" s="394"/>
      <c r="DS89" s="394"/>
      <c r="DT89" s="394"/>
      <c r="DU89" s="394"/>
      <c r="DV89" s="394"/>
      <c r="DW89" s="395"/>
      <c r="DX89" s="394"/>
      <c r="DY89" s="394"/>
      <c r="DZ89" s="394"/>
      <c r="EA89" s="394"/>
      <c r="EB89" s="354"/>
      <c r="EC89" s="361"/>
      <c r="ED89" s="360"/>
      <c r="EE89" s="360"/>
      <c r="EF89" s="362"/>
      <c r="EG89" s="362"/>
      <c r="EH89" s="362"/>
      <c r="EI89" s="362"/>
      <c r="EJ89" s="362"/>
      <c r="EK89" s="362"/>
      <c r="EL89" s="362"/>
      <c r="EM89" s="362"/>
      <c r="EN89" s="362"/>
      <c r="EO89" s="362"/>
      <c r="EP89" s="362"/>
      <c r="EQ89" s="362"/>
      <c r="ER89" s="355"/>
      <c r="ES89" s="361"/>
      <c r="ET89" s="361"/>
      <c r="EU89" s="362"/>
      <c r="EV89" s="362"/>
      <c r="EW89" s="361"/>
      <c r="EX89" s="355"/>
      <c r="EY89" s="360"/>
      <c r="EZ89" s="364"/>
      <c r="FA89" s="364"/>
      <c r="FB89" s="364"/>
      <c r="FC89" s="364"/>
      <c r="FD89" s="364"/>
      <c r="FE89" s="364"/>
      <c r="FF89" s="364"/>
      <c r="FG89" s="364"/>
      <c r="FH89" s="356"/>
      <c r="FI89" s="356"/>
      <c r="FJ89" s="356"/>
      <c r="FK89" s="364"/>
      <c r="FL89" s="364"/>
      <c r="FM89" s="364"/>
      <c r="FN89" s="364"/>
      <c r="FO89" s="360"/>
      <c r="FP89" s="360"/>
      <c r="FQ89" s="360"/>
      <c r="FR89" s="367"/>
      <c r="FS89" s="355"/>
      <c r="FT89" s="356"/>
      <c r="FU89" s="387"/>
      <c r="FV89" s="361"/>
      <c r="FW89" s="361"/>
      <c r="FX89" s="361"/>
      <c r="FY89" s="361"/>
      <c r="FZ89" s="361"/>
      <c r="GA89" s="361"/>
      <c r="GB89" s="361"/>
      <c r="GC89" s="361"/>
      <c r="GD89" s="355"/>
      <c r="GE89" s="361"/>
      <c r="GF89" s="360"/>
      <c r="GG89" s="354"/>
      <c r="GH89" s="357"/>
      <c r="GI89" s="354"/>
      <c r="GJ89" s="354"/>
      <c r="GK89" s="354"/>
      <c r="GL89" s="354"/>
      <c r="GM89" s="354"/>
      <c r="GN89" s="357"/>
      <c r="GO89" s="357"/>
      <c r="GP89" s="357"/>
      <c r="GQ89" s="359"/>
      <c r="GR89" s="357"/>
    </row>
    <row r="90" spans="1:200" ht="13.5" customHeight="1" x14ac:dyDescent="0.2">
      <c r="A90" s="362"/>
      <c r="B90" s="362"/>
      <c r="C90" s="354"/>
      <c r="D90" s="357"/>
      <c r="E90" s="357"/>
      <c r="F90" s="362"/>
      <c r="G90" s="362"/>
      <c r="H90" s="362"/>
      <c r="I90" s="362"/>
      <c r="J90" s="362"/>
      <c r="K90" s="362"/>
      <c r="L90" s="359"/>
      <c r="M90" s="359"/>
      <c r="N90" s="359"/>
      <c r="O90" s="362"/>
      <c r="P90" s="362"/>
      <c r="Q90" s="362"/>
      <c r="R90" s="359"/>
      <c r="S90" s="362"/>
      <c r="T90" s="362"/>
      <c r="U90" s="362"/>
      <c r="V90" s="362"/>
      <c r="W90" s="362"/>
      <c r="X90" s="362"/>
      <c r="Y90" s="362"/>
      <c r="Z90" s="362"/>
      <c r="AA90" s="362"/>
      <c r="AB90" s="357"/>
      <c r="AC90" s="354"/>
      <c r="AD90" s="354"/>
      <c r="AE90" s="354"/>
      <c r="AF90" s="354"/>
      <c r="AG90" s="380"/>
      <c r="AH90" s="354"/>
      <c r="AI90" s="354"/>
      <c r="AJ90" s="354"/>
      <c r="AK90" s="357"/>
      <c r="AL90" s="354"/>
      <c r="AM90" s="354"/>
      <c r="AN90" s="354"/>
      <c r="AO90" s="357"/>
      <c r="AP90" s="354"/>
      <c r="AQ90" s="357"/>
      <c r="AR90" s="357"/>
      <c r="AS90" s="354"/>
      <c r="AT90" s="354"/>
      <c r="AU90" s="354"/>
      <c r="AV90" s="380"/>
      <c r="AW90" s="362"/>
      <c r="AX90" s="362"/>
      <c r="AY90" s="362"/>
      <c r="AZ90" s="357"/>
      <c r="BA90" s="357"/>
      <c r="BB90" s="357"/>
      <c r="BC90" s="357"/>
      <c r="BD90" s="358"/>
      <c r="BE90" s="355"/>
      <c r="BF90" s="361"/>
      <c r="BG90" s="361"/>
      <c r="BH90" s="356"/>
      <c r="BI90" s="364"/>
      <c r="BJ90" s="364"/>
      <c r="BK90" s="374"/>
      <c r="BL90" s="374"/>
      <c r="BM90" s="364"/>
      <c r="BN90" s="375"/>
      <c r="BO90" s="375"/>
      <c r="BP90" s="374"/>
      <c r="BQ90" s="375"/>
      <c r="BR90" s="374"/>
      <c r="BS90" s="374"/>
      <c r="BT90" s="354"/>
      <c r="BU90" s="393"/>
      <c r="BV90" s="393"/>
      <c r="BW90" s="394"/>
      <c r="BX90" s="394"/>
      <c r="BY90" s="394"/>
      <c r="BZ90" s="394"/>
      <c r="CA90" s="394"/>
      <c r="CB90" s="394"/>
      <c r="CC90" s="394"/>
      <c r="CD90" s="394"/>
      <c r="CE90" s="354"/>
      <c r="CF90" s="354"/>
      <c r="CG90" s="355"/>
      <c r="CH90" s="354"/>
      <c r="CI90" s="354"/>
      <c r="CJ90" s="394"/>
      <c r="CK90" s="394"/>
      <c r="CL90" s="394"/>
      <c r="CM90" s="394"/>
      <c r="CN90" s="394"/>
      <c r="CO90" s="394"/>
      <c r="CP90" s="394"/>
      <c r="CQ90" s="394"/>
      <c r="CR90" s="394"/>
      <c r="CS90" s="394"/>
      <c r="CT90" s="394"/>
      <c r="CU90" s="394"/>
      <c r="CV90" s="394"/>
      <c r="CW90" s="394"/>
      <c r="CX90" s="394"/>
      <c r="CY90" s="394"/>
      <c r="CZ90" s="394"/>
      <c r="DA90" s="394"/>
      <c r="DB90" s="394"/>
      <c r="DC90" s="394"/>
      <c r="DD90" s="394"/>
      <c r="DE90" s="394"/>
      <c r="DF90" s="394"/>
      <c r="DG90" s="394"/>
      <c r="DH90" s="394"/>
      <c r="DI90" s="394"/>
      <c r="DJ90" s="394"/>
      <c r="DK90" s="394"/>
      <c r="DL90" s="394"/>
      <c r="DM90" s="394"/>
      <c r="DN90" s="394"/>
      <c r="DO90" s="394"/>
      <c r="DP90" s="394"/>
      <c r="DQ90" s="394"/>
      <c r="DR90" s="394"/>
      <c r="DS90" s="394"/>
      <c r="DT90" s="394"/>
      <c r="DU90" s="394"/>
      <c r="DV90" s="394"/>
      <c r="DW90" s="394"/>
      <c r="DX90" s="394"/>
      <c r="DY90" s="394"/>
      <c r="DZ90" s="394"/>
      <c r="EA90" s="394"/>
      <c r="EB90" s="354"/>
      <c r="EC90" s="354"/>
      <c r="ED90" s="360"/>
      <c r="EE90" s="361"/>
      <c r="EF90" s="361"/>
      <c r="EG90" s="361"/>
      <c r="EH90" s="362"/>
      <c r="EI90" s="362"/>
      <c r="EJ90" s="362"/>
      <c r="EK90" s="362"/>
      <c r="EL90" s="362"/>
      <c r="EM90" s="362"/>
      <c r="EN90" s="362"/>
      <c r="EO90" s="355"/>
      <c r="EP90" s="361"/>
      <c r="EQ90" s="361"/>
      <c r="ER90" s="355"/>
      <c r="ES90" s="355"/>
      <c r="ET90" s="355"/>
      <c r="EU90" s="355"/>
      <c r="EV90" s="355"/>
      <c r="EW90" s="364"/>
      <c r="EX90" s="364"/>
      <c r="EY90" s="364"/>
      <c r="EZ90" s="364"/>
      <c r="FA90" s="360"/>
      <c r="FB90" s="364"/>
      <c r="FC90" s="364"/>
      <c r="FD90" s="364"/>
      <c r="FE90" s="364"/>
      <c r="FF90" s="356"/>
      <c r="FG90" s="356"/>
      <c r="FH90" s="356"/>
      <c r="FI90" s="356"/>
      <c r="FJ90" s="364"/>
      <c r="FK90" s="364"/>
      <c r="FL90" s="364"/>
      <c r="FM90" s="356"/>
      <c r="FN90" s="356"/>
      <c r="FO90" s="360"/>
      <c r="FP90" s="360"/>
      <c r="FQ90" s="390"/>
      <c r="FR90" s="367"/>
      <c r="FS90" s="356"/>
      <c r="FT90" s="387"/>
      <c r="FU90" s="361"/>
      <c r="FV90" s="361"/>
      <c r="FW90" s="355"/>
      <c r="FX90" s="361"/>
      <c r="FY90" s="364"/>
      <c r="FZ90" s="364"/>
      <c r="GA90" s="360"/>
      <c r="GB90" s="361"/>
      <c r="GC90" s="361"/>
      <c r="GD90" s="361"/>
      <c r="GE90" s="360"/>
      <c r="GF90" s="354"/>
      <c r="GG90" s="354"/>
      <c r="GH90" s="357"/>
      <c r="GI90" s="357"/>
      <c r="GJ90" s="354"/>
      <c r="GK90" s="354"/>
      <c r="GL90" s="354"/>
      <c r="GM90" s="357"/>
      <c r="GN90" s="357"/>
      <c r="GO90" s="357"/>
      <c r="GP90" s="359"/>
      <c r="GQ90" s="359"/>
      <c r="GR90" s="357"/>
    </row>
    <row r="91" spans="1:200" ht="13.5" customHeight="1" x14ac:dyDescent="0.2">
      <c r="A91" s="362"/>
      <c r="B91" s="362"/>
      <c r="C91" s="362"/>
      <c r="D91" s="362"/>
      <c r="E91" s="359"/>
      <c r="F91" s="362"/>
      <c r="G91" s="362"/>
      <c r="H91" s="362"/>
      <c r="I91" s="362"/>
      <c r="J91" s="355"/>
      <c r="K91" s="355"/>
      <c r="L91" s="355"/>
      <c r="M91" s="358"/>
      <c r="N91" s="358"/>
      <c r="O91" s="358"/>
      <c r="P91" s="362"/>
      <c r="Q91" s="362"/>
      <c r="R91" s="362"/>
      <c r="S91" s="359"/>
      <c r="T91" s="359"/>
      <c r="U91" s="362"/>
      <c r="V91" s="362"/>
      <c r="W91" s="362"/>
      <c r="X91" s="362"/>
      <c r="Y91" s="362"/>
      <c r="Z91" s="362"/>
      <c r="AA91" s="362"/>
      <c r="AB91" s="359"/>
      <c r="AC91" s="354"/>
      <c r="AD91" s="354"/>
      <c r="AE91" s="380"/>
      <c r="AF91" s="354"/>
      <c r="AG91" s="380"/>
      <c r="AH91" s="354"/>
      <c r="AI91" s="354"/>
      <c r="AJ91" s="354"/>
      <c r="AK91" s="354"/>
      <c r="AL91" s="354"/>
      <c r="AM91" s="354"/>
      <c r="AN91" s="354"/>
      <c r="AO91" s="354"/>
      <c r="AP91" s="354"/>
      <c r="AQ91" s="357"/>
      <c r="AR91" s="357"/>
      <c r="AS91" s="354"/>
      <c r="AT91" s="380"/>
      <c r="AU91" s="354"/>
      <c r="AV91" s="357"/>
      <c r="AW91" s="359"/>
      <c r="AX91" s="362"/>
      <c r="AY91" s="359"/>
      <c r="AZ91" s="359"/>
      <c r="BA91" s="359"/>
      <c r="BB91" s="362"/>
      <c r="BC91" s="359"/>
      <c r="BD91" s="359"/>
      <c r="BE91" s="359"/>
      <c r="BF91" s="357"/>
      <c r="BG91" s="360"/>
      <c r="BH91" s="356"/>
      <c r="BI91" s="356"/>
      <c r="BJ91" s="364"/>
      <c r="BK91" s="374"/>
      <c r="BL91" s="364"/>
      <c r="BM91" s="364"/>
      <c r="BN91" s="364"/>
      <c r="BO91" s="374"/>
      <c r="BP91" s="374"/>
      <c r="BQ91" s="375"/>
      <c r="BR91" s="375"/>
      <c r="BS91" s="375"/>
      <c r="BT91" s="354"/>
      <c r="BU91" s="393"/>
      <c r="BV91" s="393"/>
      <c r="BW91" s="394"/>
      <c r="BX91" s="394"/>
      <c r="BY91" s="394"/>
      <c r="BZ91" s="394"/>
      <c r="CA91" s="394"/>
      <c r="CB91" s="394"/>
      <c r="CC91" s="394"/>
      <c r="CD91" s="394"/>
      <c r="CE91" s="354"/>
      <c r="CF91" s="354"/>
      <c r="CG91" s="355"/>
      <c r="CH91" s="354"/>
      <c r="CI91" s="354"/>
      <c r="CJ91" s="394"/>
      <c r="CK91" s="394"/>
      <c r="CL91" s="394"/>
      <c r="CM91" s="394"/>
      <c r="CN91" s="394"/>
      <c r="CO91" s="394"/>
      <c r="CP91" s="394"/>
      <c r="CQ91" s="394"/>
      <c r="CR91" s="394"/>
      <c r="CS91" s="394"/>
      <c r="CT91" s="394"/>
      <c r="CU91" s="394"/>
      <c r="CV91" s="394"/>
      <c r="CW91" s="394"/>
      <c r="CX91" s="394"/>
      <c r="CY91" s="394"/>
      <c r="CZ91" s="394"/>
      <c r="DA91" s="394"/>
      <c r="DB91" s="394"/>
      <c r="DC91" s="394"/>
      <c r="DD91" s="394"/>
      <c r="DE91" s="394"/>
      <c r="DF91" s="394"/>
      <c r="DG91" s="394"/>
      <c r="DH91" s="394"/>
      <c r="DI91" s="394"/>
      <c r="DJ91" s="394"/>
      <c r="DK91" s="394"/>
      <c r="DL91" s="394"/>
      <c r="DM91" s="394"/>
      <c r="DN91" s="394"/>
      <c r="DO91" s="394"/>
      <c r="DP91" s="394"/>
      <c r="DQ91" s="394"/>
      <c r="DR91" s="394"/>
      <c r="DS91" s="394"/>
      <c r="DT91" s="394"/>
      <c r="DU91" s="394"/>
      <c r="DV91" s="394"/>
      <c r="DW91" s="394"/>
      <c r="DX91" s="394"/>
      <c r="DY91" s="394"/>
      <c r="DZ91" s="394"/>
      <c r="EA91" s="394"/>
      <c r="EB91" s="354"/>
      <c r="EC91" s="354"/>
      <c r="ED91" s="360"/>
      <c r="EE91" s="361"/>
      <c r="EF91" s="364"/>
      <c r="EG91" s="364"/>
      <c r="EH91" s="364"/>
      <c r="EI91" s="364"/>
      <c r="EJ91" s="355"/>
      <c r="EK91" s="355"/>
      <c r="EL91" s="355"/>
      <c r="EM91" s="361"/>
      <c r="EN91" s="360"/>
      <c r="EO91" s="360"/>
      <c r="EP91" s="356"/>
      <c r="EQ91" s="361"/>
      <c r="ER91" s="361"/>
      <c r="ES91" s="355"/>
      <c r="ET91" s="361"/>
      <c r="EU91" s="360"/>
      <c r="EV91" s="364"/>
      <c r="EW91" s="364"/>
      <c r="EX91" s="364"/>
      <c r="EY91" s="364"/>
      <c r="EZ91" s="356"/>
      <c r="FA91" s="360"/>
      <c r="FB91" s="364"/>
      <c r="FC91" s="364"/>
      <c r="FD91" s="364"/>
      <c r="FE91" s="356"/>
      <c r="FF91" s="356"/>
      <c r="FG91" s="364"/>
      <c r="FH91" s="356"/>
      <c r="FI91" s="364"/>
      <c r="FJ91" s="364"/>
      <c r="FK91" s="364"/>
      <c r="FL91" s="355"/>
      <c r="FM91" s="360"/>
      <c r="FN91" s="360"/>
      <c r="FO91" s="360"/>
      <c r="FP91" s="364"/>
      <c r="FQ91" s="358"/>
      <c r="FR91" s="364"/>
      <c r="FS91" s="364"/>
      <c r="FT91" s="355"/>
      <c r="FU91" s="361"/>
      <c r="FV91" s="360"/>
      <c r="FW91" s="360"/>
      <c r="FX91" s="364"/>
      <c r="FY91" s="364"/>
      <c r="FZ91" s="354"/>
      <c r="GA91" s="354"/>
      <c r="GB91" s="354"/>
      <c r="GC91" s="354"/>
      <c r="GD91" s="354"/>
      <c r="GE91" s="354"/>
      <c r="GF91" s="354"/>
      <c r="GG91" s="354"/>
      <c r="GH91" s="354"/>
      <c r="GI91" s="354"/>
      <c r="GJ91" s="354"/>
      <c r="GK91" s="354"/>
      <c r="GL91" s="354"/>
      <c r="GM91" s="357"/>
      <c r="GN91" s="357"/>
      <c r="GO91" s="357"/>
      <c r="GP91" s="357"/>
      <c r="GQ91" s="357"/>
      <c r="GR91" s="357"/>
    </row>
    <row r="92" spans="1:200" ht="13.5" customHeight="1" x14ac:dyDescent="0.2">
      <c r="A92" s="362"/>
      <c r="B92" s="362"/>
      <c r="C92" s="362"/>
      <c r="D92" s="362"/>
      <c r="E92" s="362"/>
      <c r="F92" s="362"/>
      <c r="G92" s="362"/>
      <c r="H92" s="362"/>
      <c r="I92" s="361"/>
      <c r="J92" s="361"/>
      <c r="K92" s="361"/>
      <c r="L92" s="355"/>
      <c r="M92" s="355"/>
      <c r="N92" s="356"/>
      <c r="O92" s="360"/>
      <c r="P92" s="359"/>
      <c r="Q92" s="359"/>
      <c r="R92" s="358"/>
      <c r="S92" s="359"/>
      <c r="T92" s="362"/>
      <c r="U92" s="359"/>
      <c r="V92" s="362"/>
      <c r="W92" s="362"/>
      <c r="X92" s="362"/>
      <c r="Y92" s="362"/>
      <c r="Z92" s="362"/>
      <c r="AA92" s="362"/>
      <c r="AB92" s="354"/>
      <c r="AC92" s="354"/>
      <c r="AD92" s="354"/>
      <c r="AE92" s="380"/>
      <c r="AF92" s="354"/>
      <c r="AG92" s="354"/>
      <c r="AH92" s="369"/>
      <c r="AI92" s="354"/>
      <c r="AJ92" s="354"/>
      <c r="AK92" s="354"/>
      <c r="AL92" s="354"/>
      <c r="AM92" s="354"/>
      <c r="AN92" s="354"/>
      <c r="AO92" s="354"/>
      <c r="AP92" s="357"/>
      <c r="AQ92" s="357"/>
      <c r="AR92" s="357"/>
      <c r="AS92" s="354"/>
      <c r="AT92" s="357"/>
      <c r="AU92" s="354"/>
      <c r="AV92" s="357"/>
      <c r="AW92" s="361"/>
      <c r="AX92" s="362"/>
      <c r="AY92" s="362"/>
      <c r="AZ92" s="362"/>
      <c r="BA92" s="359"/>
      <c r="BB92" s="359"/>
      <c r="BC92" s="362"/>
      <c r="BD92" s="362"/>
      <c r="BE92" s="355"/>
      <c r="BF92" s="359"/>
      <c r="BG92" s="358"/>
      <c r="BH92" s="356"/>
      <c r="BI92" s="364"/>
      <c r="BJ92" s="356"/>
      <c r="BK92" s="364"/>
      <c r="BL92" s="364"/>
      <c r="BM92" s="364"/>
      <c r="BN92" s="364"/>
      <c r="BO92" s="364"/>
      <c r="BP92" s="363"/>
      <c r="BQ92" s="364"/>
      <c r="BR92" s="385"/>
      <c r="BS92" s="375"/>
      <c r="BT92" s="354"/>
      <c r="BU92" s="393"/>
      <c r="BV92" s="393"/>
      <c r="BW92" s="394"/>
      <c r="BX92" s="394"/>
      <c r="BY92" s="394"/>
      <c r="BZ92" s="394"/>
      <c r="CA92" s="394"/>
      <c r="CB92" s="394"/>
      <c r="CC92" s="394"/>
      <c r="CD92" s="394"/>
      <c r="CE92" s="354"/>
      <c r="CF92" s="354"/>
      <c r="CG92" s="355"/>
      <c r="CH92" s="354"/>
      <c r="CI92" s="354"/>
      <c r="CJ92" s="394"/>
      <c r="CK92" s="394"/>
      <c r="CL92" s="394"/>
      <c r="CM92" s="394"/>
      <c r="CN92" s="394"/>
      <c r="CO92" s="394"/>
      <c r="CP92" s="394"/>
      <c r="CQ92" s="394"/>
      <c r="CR92" s="394"/>
      <c r="CS92" s="394"/>
      <c r="CT92" s="394"/>
      <c r="CU92" s="394"/>
      <c r="CV92" s="394"/>
      <c r="CW92" s="394"/>
      <c r="CX92" s="394"/>
      <c r="CY92" s="394"/>
      <c r="CZ92" s="394"/>
      <c r="DA92" s="394"/>
      <c r="DB92" s="394"/>
      <c r="DC92" s="394"/>
      <c r="DD92" s="394"/>
      <c r="DE92" s="394"/>
      <c r="DF92" s="394"/>
      <c r="DG92" s="394"/>
      <c r="DH92" s="394"/>
      <c r="DI92" s="394"/>
      <c r="DJ92" s="394"/>
      <c r="DK92" s="394"/>
      <c r="DL92" s="394"/>
      <c r="DM92" s="394"/>
      <c r="DN92" s="394"/>
      <c r="DO92" s="394"/>
      <c r="DP92" s="394"/>
      <c r="DQ92" s="394"/>
      <c r="DR92" s="394"/>
      <c r="DS92" s="394"/>
      <c r="DT92" s="394"/>
      <c r="DU92" s="394"/>
      <c r="DV92" s="394"/>
      <c r="DW92" s="394"/>
      <c r="DX92" s="394"/>
      <c r="DY92" s="394"/>
      <c r="DZ92" s="394"/>
      <c r="EA92" s="394"/>
      <c r="EB92" s="393"/>
      <c r="EC92" s="354"/>
      <c r="ED92" s="364"/>
      <c r="EE92" s="364"/>
      <c r="EF92" s="364"/>
      <c r="EG92" s="364"/>
      <c r="EH92" s="374"/>
      <c r="EI92" s="364"/>
      <c r="EJ92" s="364"/>
      <c r="EK92" s="364"/>
      <c r="EL92" s="364"/>
      <c r="EM92" s="364"/>
      <c r="EN92" s="360"/>
      <c r="EO92" s="364"/>
      <c r="EP92" s="364"/>
      <c r="EQ92" s="364"/>
      <c r="ER92" s="364"/>
      <c r="ES92" s="360"/>
      <c r="ET92" s="356"/>
      <c r="EU92" s="356"/>
      <c r="EV92" s="360"/>
      <c r="EW92" s="364"/>
      <c r="EX92" s="364"/>
      <c r="EY92" s="360"/>
      <c r="EZ92" s="360"/>
      <c r="FA92" s="360"/>
      <c r="FB92" s="364"/>
      <c r="FC92" s="364"/>
      <c r="FD92" s="355"/>
      <c r="FE92" s="364"/>
      <c r="FF92" s="364"/>
      <c r="FG92" s="364"/>
      <c r="FH92" s="364"/>
      <c r="FI92" s="364"/>
      <c r="FJ92" s="364"/>
      <c r="FK92" s="361"/>
      <c r="FL92" s="360"/>
      <c r="FM92" s="360"/>
      <c r="FN92" s="364"/>
      <c r="FO92" s="387"/>
      <c r="FP92" s="358"/>
      <c r="FQ92" s="359"/>
      <c r="FR92" s="364"/>
      <c r="FS92" s="361"/>
      <c r="FT92" s="360"/>
      <c r="FU92" s="360"/>
      <c r="FV92" s="360"/>
      <c r="FW92" s="364"/>
      <c r="FX92" s="354"/>
      <c r="FY92" s="354"/>
      <c r="FZ92" s="354"/>
      <c r="GA92" s="354"/>
      <c r="GB92" s="354"/>
      <c r="GC92" s="354"/>
      <c r="GD92" s="354"/>
      <c r="GE92" s="354"/>
      <c r="GF92" s="357"/>
      <c r="GG92" s="354"/>
      <c r="GH92" s="354"/>
      <c r="GI92" s="354"/>
      <c r="GJ92" s="354"/>
      <c r="GK92" s="354"/>
      <c r="GL92" s="357"/>
      <c r="GM92" s="357"/>
      <c r="GN92" s="357"/>
      <c r="GO92" s="357"/>
      <c r="GP92" s="354"/>
      <c r="GQ92" s="357"/>
      <c r="GR92" s="354"/>
    </row>
    <row r="93" spans="1:200" ht="13.5" customHeight="1" x14ac:dyDescent="0.2">
      <c r="A93" s="359"/>
      <c r="B93" s="359"/>
      <c r="C93" s="359"/>
      <c r="D93" s="359"/>
      <c r="E93" s="358"/>
      <c r="F93" s="362"/>
      <c r="G93" s="362"/>
      <c r="H93" s="361"/>
      <c r="I93" s="361"/>
      <c r="J93" s="361"/>
      <c r="K93" s="361"/>
      <c r="L93" s="361"/>
      <c r="M93" s="362"/>
      <c r="N93" s="362"/>
      <c r="O93" s="355"/>
      <c r="P93" s="362"/>
      <c r="Q93" s="358"/>
      <c r="R93" s="358"/>
      <c r="S93" s="358"/>
      <c r="T93" s="359"/>
      <c r="U93" s="359"/>
      <c r="V93" s="362"/>
      <c r="W93" s="362"/>
      <c r="X93" s="362"/>
      <c r="Y93" s="362"/>
      <c r="Z93" s="362"/>
      <c r="AA93" s="361"/>
      <c r="AB93" s="361"/>
      <c r="AC93" s="354"/>
      <c r="AD93" s="354"/>
      <c r="AE93" s="380"/>
      <c r="AF93" s="380"/>
      <c r="AG93" s="354"/>
      <c r="AH93" s="369"/>
      <c r="AI93" s="380"/>
      <c r="AJ93" s="354"/>
      <c r="AK93" s="354"/>
      <c r="AL93" s="354"/>
      <c r="AM93" s="354"/>
      <c r="AN93" s="354"/>
      <c r="AO93" s="354"/>
      <c r="AP93" s="357"/>
      <c r="AQ93" s="357"/>
      <c r="AR93" s="357"/>
      <c r="AS93" s="354"/>
      <c r="AT93" s="357"/>
      <c r="AU93" s="354"/>
      <c r="AV93" s="357"/>
      <c r="AW93" s="357"/>
      <c r="AX93" s="362"/>
      <c r="AY93" s="362"/>
      <c r="AZ93" s="358"/>
      <c r="BA93" s="358"/>
      <c r="BB93" s="362"/>
      <c r="BC93" s="359"/>
      <c r="BD93" s="355"/>
      <c r="BE93" s="358"/>
      <c r="BF93" s="355"/>
      <c r="BG93" s="358"/>
      <c r="BH93" s="356"/>
      <c r="BI93" s="364"/>
      <c r="BJ93" s="356"/>
      <c r="BK93" s="356"/>
      <c r="BL93" s="364"/>
      <c r="BM93" s="364"/>
      <c r="BN93" s="364"/>
      <c r="BO93" s="364"/>
      <c r="BP93" s="364"/>
      <c r="BQ93" s="385"/>
      <c r="BR93" s="385"/>
      <c r="BS93" s="356"/>
      <c r="BT93" s="354"/>
      <c r="BU93" s="393"/>
      <c r="BV93" s="393"/>
      <c r="BW93" s="394"/>
      <c r="BX93" s="394"/>
      <c r="BY93" s="394"/>
      <c r="BZ93" s="354"/>
      <c r="CA93" s="354"/>
      <c r="CB93" s="354"/>
      <c r="CC93" s="354"/>
      <c r="CD93" s="354"/>
      <c r="CE93" s="354"/>
      <c r="CF93" s="354"/>
      <c r="CG93" s="354"/>
      <c r="CH93" s="354"/>
      <c r="CI93" s="354"/>
      <c r="CJ93" s="354"/>
      <c r="CK93" s="354"/>
      <c r="CL93" s="354"/>
      <c r="CM93" s="396"/>
      <c r="CN93" s="394"/>
      <c r="CO93" s="394"/>
      <c r="CP93" s="393"/>
      <c r="CQ93" s="393"/>
      <c r="CR93" s="354"/>
      <c r="CS93" s="354"/>
      <c r="CT93" s="354"/>
      <c r="CU93" s="354"/>
      <c r="CV93" s="354"/>
      <c r="CW93" s="354"/>
      <c r="CX93" s="354"/>
      <c r="CY93" s="354"/>
      <c r="CZ93" s="354"/>
      <c r="DA93" s="354"/>
      <c r="DB93" s="354"/>
      <c r="DC93" s="393"/>
      <c r="DD93" s="394"/>
      <c r="DE93" s="394"/>
      <c r="DF93" s="393"/>
      <c r="DG93" s="393"/>
      <c r="DH93" s="354"/>
      <c r="DI93" s="354"/>
      <c r="DJ93" s="354"/>
      <c r="DK93" s="354"/>
      <c r="DL93" s="354"/>
      <c r="DM93" s="354"/>
      <c r="DN93" s="354"/>
      <c r="DO93" s="354"/>
      <c r="DP93" s="354"/>
      <c r="DQ93" s="354"/>
      <c r="DR93" s="354"/>
      <c r="DS93" s="354"/>
      <c r="DT93" s="393"/>
      <c r="DU93" s="393"/>
      <c r="DV93" s="393"/>
      <c r="DW93" s="354"/>
      <c r="DX93" s="354"/>
      <c r="DY93" s="354"/>
      <c r="DZ93" s="394"/>
      <c r="EA93" s="394"/>
      <c r="EB93" s="393"/>
      <c r="EC93" s="354"/>
      <c r="ED93" s="364"/>
      <c r="EE93" s="364"/>
      <c r="EF93" s="364"/>
      <c r="EG93" s="364"/>
      <c r="EH93" s="364"/>
      <c r="EI93" s="374"/>
      <c r="EJ93" s="374"/>
      <c r="EK93" s="364"/>
      <c r="EL93" s="364"/>
      <c r="EM93" s="364"/>
      <c r="EN93" s="364"/>
      <c r="EO93" s="364"/>
      <c r="EP93" s="360"/>
      <c r="EQ93" s="360"/>
      <c r="ER93" s="360"/>
      <c r="ES93" s="364"/>
      <c r="ET93" s="364"/>
      <c r="EU93" s="356"/>
      <c r="EV93" s="364"/>
      <c r="EW93" s="364"/>
      <c r="EX93" s="364"/>
      <c r="EY93" s="364"/>
      <c r="EZ93" s="364"/>
      <c r="FA93" s="356"/>
      <c r="FB93" s="356"/>
      <c r="FC93" s="355"/>
      <c r="FD93" s="364"/>
      <c r="FE93" s="364"/>
      <c r="FF93" s="364"/>
      <c r="FG93" s="360"/>
      <c r="FH93" s="374"/>
      <c r="FI93" s="364"/>
      <c r="FJ93" s="355"/>
      <c r="FK93" s="361"/>
      <c r="FL93" s="360"/>
      <c r="FM93" s="364"/>
      <c r="FN93" s="356"/>
      <c r="FO93" s="358"/>
      <c r="FP93" s="357"/>
      <c r="FQ93" s="364"/>
      <c r="FR93" s="364"/>
      <c r="FS93" s="361"/>
      <c r="FT93" s="364"/>
      <c r="FU93" s="361"/>
      <c r="FV93" s="361"/>
      <c r="FW93" s="364"/>
      <c r="FX93" s="354"/>
      <c r="FY93" s="354"/>
      <c r="FZ93" s="358"/>
      <c r="GA93" s="359"/>
      <c r="GB93" s="357"/>
      <c r="GC93" s="357"/>
      <c r="GD93" s="359"/>
      <c r="GE93" s="359"/>
      <c r="GF93" s="359"/>
      <c r="GG93" s="354"/>
      <c r="GH93" s="354"/>
      <c r="GI93" s="357"/>
      <c r="GJ93" s="354"/>
      <c r="GK93" s="357"/>
      <c r="GL93" s="357"/>
      <c r="GM93" s="359"/>
      <c r="GN93" s="357"/>
      <c r="GO93" s="357"/>
      <c r="GP93" s="354"/>
      <c r="GQ93" s="357"/>
      <c r="GR93" s="354"/>
    </row>
    <row r="94" spans="1:200" ht="13.5" customHeight="1" x14ac:dyDescent="0.2">
      <c r="A94" s="361"/>
      <c r="B94" s="355"/>
      <c r="C94" s="358"/>
      <c r="D94" s="359"/>
      <c r="E94" s="359"/>
      <c r="F94" s="362"/>
      <c r="G94" s="362"/>
      <c r="H94" s="362"/>
      <c r="I94" s="387"/>
      <c r="J94" s="356"/>
      <c r="K94" s="355"/>
      <c r="L94" s="364"/>
      <c r="M94" s="355"/>
      <c r="N94" s="362"/>
      <c r="O94" s="362"/>
      <c r="P94" s="359"/>
      <c r="Q94" s="359"/>
      <c r="R94" s="359"/>
      <c r="S94" s="358"/>
      <c r="T94" s="362"/>
      <c r="U94" s="359"/>
      <c r="V94" s="359"/>
      <c r="W94" s="361"/>
      <c r="X94" s="361"/>
      <c r="Y94" s="362"/>
      <c r="Z94" s="362"/>
      <c r="AA94" s="362"/>
      <c r="AB94" s="355"/>
      <c r="AC94" s="354"/>
      <c r="AD94" s="354"/>
      <c r="AE94" s="380"/>
      <c r="AF94" s="380"/>
      <c r="AG94" s="354"/>
      <c r="AH94" s="354"/>
      <c r="AI94" s="381"/>
      <c r="AJ94" s="354"/>
      <c r="AK94" s="354"/>
      <c r="AL94" s="354"/>
      <c r="AM94" s="380"/>
      <c r="AN94" s="354"/>
      <c r="AO94" s="354"/>
      <c r="AP94" s="357"/>
      <c r="AQ94" s="357"/>
      <c r="AR94" s="357"/>
      <c r="AS94" s="357"/>
      <c r="AT94" s="357"/>
      <c r="AU94" s="354"/>
      <c r="AV94" s="354"/>
      <c r="AW94" s="355"/>
      <c r="AX94" s="355"/>
      <c r="AY94" s="362"/>
      <c r="AZ94" s="362"/>
      <c r="BA94" s="362"/>
      <c r="BB94" s="362"/>
      <c r="BC94" s="359"/>
      <c r="BD94" s="359"/>
      <c r="BE94" s="361"/>
      <c r="BF94" s="361"/>
      <c r="BG94" s="359"/>
      <c r="BH94" s="360"/>
      <c r="BI94" s="356"/>
      <c r="BJ94" s="364"/>
      <c r="BK94" s="356"/>
      <c r="BL94" s="364"/>
      <c r="BM94" s="364"/>
      <c r="BN94" s="364"/>
      <c r="BO94" s="385"/>
      <c r="BP94" s="364"/>
      <c r="BQ94" s="364"/>
      <c r="BR94" s="364"/>
      <c r="BS94" s="364"/>
      <c r="BT94" s="354"/>
      <c r="BU94" s="393"/>
      <c r="BV94" s="354"/>
      <c r="BW94" s="354"/>
      <c r="BX94" s="354"/>
      <c r="BY94" s="354"/>
      <c r="BZ94" s="354"/>
      <c r="CA94" s="354"/>
      <c r="CB94" s="354"/>
      <c r="CC94" s="354"/>
      <c r="CD94" s="354"/>
      <c r="CE94" s="354"/>
      <c r="CF94" s="354"/>
      <c r="CG94" s="354"/>
      <c r="CH94" s="354"/>
      <c r="CI94" s="354"/>
      <c r="CJ94" s="354"/>
      <c r="CK94" s="354"/>
      <c r="CL94" s="354"/>
      <c r="CM94" s="354"/>
      <c r="CN94" s="354"/>
      <c r="CO94" s="354"/>
      <c r="CP94" s="354"/>
      <c r="CQ94" s="354"/>
      <c r="CR94" s="354"/>
      <c r="CS94" s="354"/>
      <c r="CT94" s="354"/>
      <c r="CU94" s="354"/>
      <c r="CV94" s="354"/>
      <c r="CW94" s="354"/>
      <c r="CX94" s="354"/>
      <c r="CY94" s="354"/>
      <c r="CZ94" s="354"/>
      <c r="DA94" s="354"/>
      <c r="DB94" s="354"/>
      <c r="DC94" s="354"/>
      <c r="DD94" s="354"/>
      <c r="DE94" s="354"/>
      <c r="DF94" s="354"/>
      <c r="DG94" s="354"/>
      <c r="DH94" s="354"/>
      <c r="DI94" s="354"/>
      <c r="DJ94" s="354"/>
      <c r="DK94" s="354"/>
      <c r="DL94" s="354"/>
      <c r="DM94" s="354"/>
      <c r="DN94" s="354"/>
      <c r="DO94" s="354"/>
      <c r="DP94" s="354"/>
      <c r="DQ94" s="354"/>
      <c r="DR94" s="354"/>
      <c r="DS94" s="354"/>
      <c r="DT94" s="354"/>
      <c r="DU94" s="354"/>
      <c r="DV94" s="354"/>
      <c r="DW94" s="354"/>
      <c r="DX94" s="354"/>
      <c r="DY94" s="354"/>
      <c r="DZ94" s="396"/>
      <c r="EA94" s="394"/>
      <c r="EB94" s="394"/>
      <c r="EC94" s="354"/>
      <c r="ED94" s="364"/>
      <c r="EE94" s="364"/>
      <c r="EF94" s="364"/>
      <c r="EG94" s="364"/>
      <c r="EH94" s="364"/>
      <c r="EI94" s="364"/>
      <c r="EJ94" s="364"/>
      <c r="EK94" s="364"/>
      <c r="EL94" s="364"/>
      <c r="EM94" s="356"/>
      <c r="EN94" s="364"/>
      <c r="EO94" s="364"/>
      <c r="EP94" s="364"/>
      <c r="EQ94" s="364"/>
      <c r="ER94" s="364"/>
      <c r="ES94" s="364"/>
      <c r="ET94" s="364"/>
      <c r="EU94" s="364"/>
      <c r="EV94" s="364"/>
      <c r="EW94" s="364"/>
      <c r="EX94" s="364"/>
      <c r="EY94" s="364"/>
      <c r="EZ94" s="360"/>
      <c r="FA94" s="356"/>
      <c r="FB94" s="356"/>
      <c r="FC94" s="364"/>
      <c r="FD94" s="364"/>
      <c r="FE94" s="364"/>
      <c r="FF94" s="360"/>
      <c r="FG94" s="374"/>
      <c r="FH94" s="374"/>
      <c r="FI94" s="364"/>
      <c r="FJ94" s="361"/>
      <c r="FK94" s="360"/>
      <c r="FL94" s="364"/>
      <c r="FM94" s="357"/>
      <c r="FN94" s="359"/>
      <c r="FO94" s="360"/>
      <c r="FP94" s="360"/>
      <c r="FQ94" s="360"/>
      <c r="FR94" s="356"/>
      <c r="FS94" s="360"/>
      <c r="FT94" s="361"/>
      <c r="FU94" s="361"/>
      <c r="FV94" s="361"/>
      <c r="FW94" s="360"/>
      <c r="FX94" s="354"/>
      <c r="FY94" s="354"/>
      <c r="FZ94" s="358"/>
      <c r="GA94" s="359"/>
      <c r="GB94" s="357"/>
      <c r="GC94" s="357"/>
      <c r="GD94" s="359"/>
      <c r="GE94" s="359"/>
      <c r="GF94" s="359"/>
      <c r="GG94" s="354"/>
      <c r="GH94" s="354"/>
      <c r="GI94" s="357"/>
      <c r="GJ94" s="359"/>
      <c r="GK94" s="357"/>
      <c r="GL94" s="359"/>
      <c r="GM94" s="359"/>
      <c r="GN94" s="357"/>
      <c r="GO94" s="357"/>
      <c r="GP94" s="357"/>
      <c r="GQ94" s="354"/>
      <c r="GR94" s="354"/>
    </row>
    <row r="95" spans="1:200" ht="13.5" customHeight="1" x14ac:dyDescent="0.2">
      <c r="A95" s="359"/>
      <c r="B95" s="359"/>
      <c r="C95" s="359"/>
      <c r="D95" s="359"/>
      <c r="E95" s="359"/>
      <c r="F95" s="356"/>
      <c r="G95" s="363"/>
      <c r="H95" s="363"/>
      <c r="I95" s="363"/>
      <c r="J95" s="363"/>
      <c r="K95" s="363"/>
      <c r="L95" s="356"/>
      <c r="M95" s="356"/>
      <c r="N95" s="356"/>
      <c r="O95" s="360"/>
      <c r="P95" s="361"/>
      <c r="Q95" s="362"/>
      <c r="R95" s="359"/>
      <c r="S95" s="359"/>
      <c r="T95" s="362"/>
      <c r="U95" s="362"/>
      <c r="V95" s="359"/>
      <c r="W95" s="359"/>
      <c r="X95" s="362"/>
      <c r="Y95" s="361"/>
      <c r="Z95" s="362"/>
      <c r="AA95" s="362"/>
      <c r="AB95" s="390"/>
      <c r="AC95" s="354"/>
      <c r="AD95" s="354"/>
      <c r="AE95" s="354"/>
      <c r="AF95" s="381"/>
      <c r="AG95" s="354"/>
      <c r="AH95" s="354"/>
      <c r="AI95" s="381"/>
      <c r="AJ95" s="381"/>
      <c r="AK95" s="354"/>
      <c r="AL95" s="354"/>
      <c r="AM95" s="381"/>
      <c r="AN95" s="354"/>
      <c r="AO95" s="354"/>
      <c r="AP95" s="357"/>
      <c r="AQ95" s="357"/>
      <c r="AR95" s="357"/>
      <c r="AS95" s="357"/>
      <c r="AT95" s="357"/>
      <c r="AU95" s="354"/>
      <c r="AV95" s="354"/>
      <c r="AW95" s="380"/>
      <c r="AX95" s="361"/>
      <c r="AY95" s="362"/>
      <c r="AZ95" s="362"/>
      <c r="BA95" s="355"/>
      <c r="BB95" s="359"/>
      <c r="BC95" s="362"/>
      <c r="BD95" s="362"/>
      <c r="BE95" s="357"/>
      <c r="BF95" s="362"/>
      <c r="BG95" s="361"/>
      <c r="BH95" s="357"/>
      <c r="BI95" s="364"/>
      <c r="BJ95" s="364"/>
      <c r="BK95" s="356"/>
      <c r="BL95" s="360"/>
      <c r="BM95" s="364"/>
      <c r="BN95" s="364"/>
      <c r="BO95" s="364"/>
      <c r="BP95" s="364"/>
      <c r="BQ95" s="364"/>
      <c r="BR95" s="364"/>
      <c r="BS95" s="364"/>
      <c r="BT95" s="354"/>
      <c r="BU95" s="394"/>
      <c r="BV95" s="354"/>
      <c r="BW95" s="354"/>
      <c r="BX95" s="354"/>
      <c r="BY95" s="354"/>
      <c r="BZ95" s="354"/>
      <c r="CA95" s="394"/>
      <c r="CB95" s="394"/>
      <c r="CC95" s="394"/>
      <c r="CD95" s="394"/>
      <c r="CE95" s="354"/>
      <c r="CF95" s="354"/>
      <c r="CG95" s="354"/>
      <c r="CH95" s="355"/>
      <c r="CI95" s="354"/>
      <c r="CJ95" s="393"/>
      <c r="CK95" s="394"/>
      <c r="CL95" s="394"/>
      <c r="CM95" s="354"/>
      <c r="CN95" s="354"/>
      <c r="CO95" s="354"/>
      <c r="CP95" s="354"/>
      <c r="CQ95" s="354"/>
      <c r="CR95" s="354"/>
      <c r="CS95" s="393"/>
      <c r="CT95" s="393"/>
      <c r="CU95" s="393"/>
      <c r="CV95" s="395"/>
      <c r="CW95" s="395"/>
      <c r="CX95" s="395"/>
      <c r="CY95" s="393"/>
      <c r="CZ95" s="395"/>
      <c r="DA95" s="395"/>
      <c r="DB95" s="354"/>
      <c r="DC95" s="354"/>
      <c r="DD95" s="354"/>
      <c r="DE95" s="354"/>
      <c r="DF95" s="354"/>
      <c r="DG95" s="354"/>
      <c r="DH95" s="354"/>
      <c r="DI95" s="394"/>
      <c r="DJ95" s="394"/>
      <c r="DK95" s="394"/>
      <c r="DL95" s="394"/>
      <c r="DM95" s="394"/>
      <c r="DN95" s="394"/>
      <c r="DO95" s="381"/>
      <c r="DP95" s="394"/>
      <c r="DQ95" s="394"/>
      <c r="DR95" s="354"/>
      <c r="DS95" s="354"/>
      <c r="DT95" s="354"/>
      <c r="DU95" s="354"/>
      <c r="DV95" s="354"/>
      <c r="DW95" s="354"/>
      <c r="DX95" s="354"/>
      <c r="DY95" s="395"/>
      <c r="DZ95" s="394"/>
      <c r="EA95" s="394"/>
      <c r="EB95" s="394"/>
      <c r="EC95" s="354"/>
      <c r="ED95" s="364"/>
      <c r="EE95" s="364"/>
      <c r="EF95" s="364"/>
      <c r="EG95" s="364"/>
      <c r="EH95" s="364"/>
      <c r="EI95" s="364"/>
      <c r="EJ95" s="364"/>
      <c r="EK95" s="364"/>
      <c r="EL95" s="361"/>
      <c r="EM95" s="360"/>
      <c r="EN95" s="360"/>
      <c r="EO95" s="360"/>
      <c r="EP95" s="364"/>
      <c r="EQ95" s="364"/>
      <c r="ER95" s="355"/>
      <c r="ES95" s="367"/>
      <c r="ET95" s="355"/>
      <c r="EU95" s="364"/>
      <c r="EV95" s="364"/>
      <c r="EW95" s="364"/>
      <c r="EX95" s="360"/>
      <c r="EY95" s="356"/>
      <c r="EZ95" s="360"/>
      <c r="FA95" s="364"/>
      <c r="FB95" s="364"/>
      <c r="FC95" s="360"/>
      <c r="FD95" s="364"/>
      <c r="FE95" s="360"/>
      <c r="FF95" s="360"/>
      <c r="FG95" s="360"/>
      <c r="FH95" s="364"/>
      <c r="FI95" s="361"/>
      <c r="FJ95" s="361"/>
      <c r="FK95" s="359"/>
      <c r="FL95" s="359"/>
      <c r="FM95" s="359"/>
      <c r="FN95" s="360"/>
      <c r="FO95" s="361"/>
      <c r="FP95" s="361"/>
      <c r="FQ95" s="361"/>
      <c r="FR95" s="364"/>
      <c r="FS95" s="361"/>
      <c r="FT95" s="361"/>
      <c r="FU95" s="364"/>
      <c r="FV95" s="364"/>
      <c r="FW95" s="354"/>
      <c r="FX95" s="354"/>
      <c r="FY95" s="359"/>
      <c r="FZ95" s="358"/>
      <c r="GA95" s="359"/>
      <c r="GB95" s="357"/>
      <c r="GC95" s="359"/>
      <c r="GD95" s="359"/>
      <c r="GE95" s="359"/>
      <c r="GF95" s="354"/>
      <c r="GG95" s="354"/>
      <c r="GH95" s="357"/>
      <c r="GI95" s="359"/>
      <c r="GJ95" s="390"/>
      <c r="GK95" s="357"/>
      <c r="GL95" s="357"/>
      <c r="GM95" s="357"/>
      <c r="GN95" s="357"/>
      <c r="GO95" s="359"/>
      <c r="GP95" s="357"/>
      <c r="GQ95" s="354"/>
      <c r="GR95" s="359"/>
    </row>
    <row r="96" spans="1:200" ht="13.5" customHeight="1" x14ac:dyDescent="0.2">
      <c r="A96" s="359"/>
      <c r="B96" s="354"/>
      <c r="C96" s="374"/>
      <c r="D96" s="374"/>
      <c r="E96" s="367"/>
      <c r="F96" s="367"/>
      <c r="G96" s="364"/>
      <c r="H96" s="364"/>
      <c r="I96" s="364"/>
      <c r="J96" s="364"/>
      <c r="K96" s="363"/>
      <c r="L96" s="374"/>
      <c r="M96" s="360"/>
      <c r="N96" s="356"/>
      <c r="O96" s="356"/>
      <c r="P96" s="361"/>
      <c r="Q96" s="362"/>
      <c r="R96" s="362"/>
      <c r="S96" s="362"/>
      <c r="T96" s="359"/>
      <c r="U96" s="362"/>
      <c r="V96" s="362"/>
      <c r="W96" s="362"/>
      <c r="X96" s="362"/>
      <c r="Y96" s="362"/>
      <c r="Z96" s="361"/>
      <c r="AA96" s="361"/>
      <c r="AB96" s="357"/>
      <c r="AC96" s="357"/>
      <c r="AD96" s="354"/>
      <c r="AE96" s="354"/>
      <c r="AF96" s="354"/>
      <c r="AG96" s="354"/>
      <c r="AH96" s="354"/>
      <c r="AI96" s="369"/>
      <c r="AJ96" s="381"/>
      <c r="AK96" s="380"/>
      <c r="AL96" s="354"/>
      <c r="AM96" s="354"/>
      <c r="AN96" s="354"/>
      <c r="AO96" s="354"/>
      <c r="AP96" s="357"/>
      <c r="AQ96" s="354"/>
      <c r="AR96" s="354"/>
      <c r="AS96" s="357"/>
      <c r="AT96" s="357"/>
      <c r="AU96" s="354"/>
      <c r="AV96" s="357"/>
      <c r="AW96" s="380"/>
      <c r="AX96" s="355"/>
      <c r="AY96" s="362"/>
      <c r="AZ96" s="362"/>
      <c r="BA96" s="357"/>
      <c r="BB96" s="359"/>
      <c r="BC96" s="354"/>
      <c r="BD96" s="354"/>
      <c r="BE96" s="361"/>
      <c r="BF96" s="361"/>
      <c r="BG96" s="354"/>
      <c r="BH96" s="357"/>
      <c r="BI96" s="356"/>
      <c r="BJ96" s="364"/>
      <c r="BK96" s="364"/>
      <c r="BL96" s="360"/>
      <c r="BM96" s="364"/>
      <c r="BN96" s="385"/>
      <c r="BO96" s="364"/>
      <c r="BP96" s="356"/>
      <c r="BQ96" s="364"/>
      <c r="BR96" s="364"/>
      <c r="BS96" s="354"/>
      <c r="BT96" s="354"/>
      <c r="BU96" s="393"/>
      <c r="BV96" s="393"/>
      <c r="BW96" s="394"/>
      <c r="BX96" s="394"/>
      <c r="BY96" s="394"/>
      <c r="BZ96" s="394"/>
      <c r="CA96" s="394"/>
      <c r="CB96" s="394"/>
      <c r="CC96" s="394"/>
      <c r="CD96" s="394"/>
      <c r="CE96" s="354"/>
      <c r="CF96" s="354"/>
      <c r="CG96" s="354"/>
      <c r="CH96" s="355"/>
      <c r="CI96" s="354"/>
      <c r="CJ96" s="393"/>
      <c r="CK96" s="394"/>
      <c r="CL96" s="394"/>
      <c r="CM96" s="394"/>
      <c r="CN96" s="394"/>
      <c r="CO96" s="394"/>
      <c r="CP96" s="394"/>
      <c r="CQ96" s="394"/>
      <c r="CR96" s="394"/>
      <c r="CS96" s="393"/>
      <c r="CT96" s="394"/>
      <c r="CU96" s="394"/>
      <c r="CV96" s="395"/>
      <c r="CW96" s="395"/>
      <c r="CX96" s="395"/>
      <c r="CY96" s="393"/>
      <c r="CZ96" s="395"/>
      <c r="DA96" s="395"/>
      <c r="DB96" s="395"/>
      <c r="DC96" s="395"/>
      <c r="DD96" s="395"/>
      <c r="DE96" s="395"/>
      <c r="DF96" s="395"/>
      <c r="DG96" s="395"/>
      <c r="DH96" s="395"/>
      <c r="DI96" s="394"/>
      <c r="DJ96" s="394"/>
      <c r="DK96" s="394"/>
      <c r="DL96" s="394"/>
      <c r="DM96" s="394"/>
      <c r="DN96" s="394"/>
      <c r="DO96" s="395"/>
      <c r="DP96" s="394"/>
      <c r="DQ96" s="394"/>
      <c r="DR96" s="394"/>
      <c r="DS96" s="395"/>
      <c r="DT96" s="395"/>
      <c r="DU96" s="394"/>
      <c r="DV96" s="394"/>
      <c r="DW96" s="394"/>
      <c r="DX96" s="395"/>
      <c r="DY96" s="394"/>
      <c r="DZ96" s="394"/>
      <c r="EA96" s="394"/>
      <c r="EB96" s="394"/>
      <c r="EC96" s="354"/>
      <c r="ED96" s="354"/>
      <c r="EE96" s="364"/>
      <c r="EF96" s="364"/>
      <c r="EG96" s="360"/>
      <c r="EH96" s="364"/>
      <c r="EI96" s="364"/>
      <c r="EJ96" s="364"/>
      <c r="EK96" s="361"/>
      <c r="EL96" s="361"/>
      <c r="EM96" s="360"/>
      <c r="EN96" s="360"/>
      <c r="EO96" s="355"/>
      <c r="EP96" s="355"/>
      <c r="EQ96" s="361"/>
      <c r="ER96" s="360"/>
      <c r="ES96" s="364"/>
      <c r="ET96" s="361"/>
      <c r="EU96" s="361"/>
      <c r="EV96" s="356"/>
      <c r="EW96" s="360"/>
      <c r="EX96" s="360"/>
      <c r="EY96" s="360"/>
      <c r="EZ96" s="361"/>
      <c r="FA96" s="361"/>
      <c r="FB96" s="360"/>
      <c r="FC96" s="361"/>
      <c r="FD96" s="361"/>
      <c r="FE96" s="361"/>
      <c r="FF96" s="360"/>
      <c r="FG96" s="360"/>
      <c r="FH96" s="361"/>
      <c r="FI96" s="362"/>
      <c r="FJ96" s="359"/>
      <c r="FK96" s="359"/>
      <c r="FL96" s="360"/>
      <c r="FM96" s="360"/>
      <c r="FN96" s="361"/>
      <c r="FO96" s="361"/>
      <c r="FP96" s="361"/>
      <c r="FQ96" s="360"/>
      <c r="FR96" s="364"/>
      <c r="FS96" s="360"/>
      <c r="FT96" s="364"/>
      <c r="FU96" s="364"/>
      <c r="FV96" s="364"/>
      <c r="FW96" s="354"/>
      <c r="FX96" s="354"/>
      <c r="FY96" s="357"/>
      <c r="FZ96" s="359"/>
      <c r="GA96" s="359"/>
      <c r="GB96" s="359"/>
      <c r="GC96" s="359"/>
      <c r="GD96" s="358"/>
      <c r="GE96" s="359"/>
      <c r="GF96" s="354"/>
      <c r="GG96" s="354"/>
      <c r="GH96" s="354"/>
      <c r="GI96" s="359"/>
      <c r="GJ96" s="359"/>
      <c r="GK96" s="354"/>
      <c r="GL96" s="357"/>
      <c r="GM96" s="357"/>
      <c r="GN96" s="359"/>
      <c r="GO96" s="359"/>
      <c r="GP96" s="354"/>
      <c r="GQ96" s="357"/>
      <c r="GR96" s="359"/>
    </row>
    <row r="97" spans="1:200" ht="13.5" customHeight="1" x14ac:dyDescent="0.2">
      <c r="A97" s="363"/>
      <c r="B97" s="388"/>
      <c r="C97" s="363"/>
      <c r="D97" s="363"/>
      <c r="E97" s="356"/>
      <c r="F97" s="360"/>
      <c r="G97" s="356"/>
      <c r="H97" s="355"/>
      <c r="I97" s="361"/>
      <c r="J97" s="355"/>
      <c r="K97" s="355"/>
      <c r="L97" s="363"/>
      <c r="M97" s="363"/>
      <c r="N97" s="374"/>
      <c r="O97" s="356"/>
      <c r="P97" s="361"/>
      <c r="Q97" s="360"/>
      <c r="R97" s="362"/>
      <c r="S97" s="362"/>
      <c r="T97" s="362"/>
      <c r="U97" s="362"/>
      <c r="V97" s="362"/>
      <c r="W97" s="362"/>
      <c r="X97" s="362"/>
      <c r="Y97" s="362"/>
      <c r="Z97" s="362"/>
      <c r="AA97" s="361"/>
      <c r="AB97" s="357"/>
      <c r="AC97" s="357"/>
      <c r="AD97" s="354"/>
      <c r="AE97" s="354"/>
      <c r="AF97" s="354"/>
      <c r="AG97" s="354"/>
      <c r="AH97" s="354"/>
      <c r="AI97" s="381"/>
      <c r="AJ97" s="369"/>
      <c r="AK97" s="380"/>
      <c r="AL97" s="354"/>
      <c r="AM97" s="354"/>
      <c r="AN97" s="354"/>
      <c r="AO97" s="354"/>
      <c r="AP97" s="354"/>
      <c r="AQ97" s="354"/>
      <c r="AR97" s="354"/>
      <c r="AS97" s="354"/>
      <c r="AT97" s="357"/>
      <c r="AU97" s="354"/>
      <c r="AV97" s="354"/>
      <c r="AW97" s="380"/>
      <c r="AX97" s="361"/>
      <c r="AY97" s="361"/>
      <c r="AZ97" s="390"/>
      <c r="BA97" s="357"/>
      <c r="BB97" s="354"/>
      <c r="BC97" s="361"/>
      <c r="BD97" s="362"/>
      <c r="BE97" s="362"/>
      <c r="BF97" s="361"/>
      <c r="BG97" s="354"/>
      <c r="BH97" s="361"/>
      <c r="BI97" s="360"/>
      <c r="BJ97" s="360"/>
      <c r="BK97" s="360"/>
      <c r="BL97" s="364"/>
      <c r="BM97" s="364"/>
      <c r="BN97" s="364"/>
      <c r="BO97" s="364"/>
      <c r="BP97" s="364"/>
      <c r="BQ97" s="364"/>
      <c r="BR97" s="385"/>
      <c r="BS97" s="354"/>
      <c r="BT97" s="394"/>
      <c r="BU97" s="393"/>
      <c r="BV97" s="393"/>
      <c r="BW97" s="394"/>
      <c r="BX97" s="394"/>
      <c r="BY97" s="394"/>
      <c r="BZ97" s="394"/>
      <c r="CA97" s="394"/>
      <c r="CB97" s="394"/>
      <c r="CC97" s="394"/>
      <c r="CD97" s="394"/>
      <c r="CE97" s="393"/>
      <c r="CF97" s="354"/>
      <c r="CG97" s="354"/>
      <c r="CH97" s="354"/>
      <c r="CI97" s="354"/>
      <c r="CJ97" s="394"/>
      <c r="CK97" s="394"/>
      <c r="CL97" s="394"/>
      <c r="CM97" s="394"/>
      <c r="CN97" s="394"/>
      <c r="CO97" s="394"/>
      <c r="CP97" s="394"/>
      <c r="CQ97" s="394"/>
      <c r="CR97" s="394"/>
      <c r="CS97" s="394"/>
      <c r="CT97" s="394"/>
      <c r="CU97" s="394"/>
      <c r="CV97" s="395"/>
      <c r="CW97" s="395"/>
      <c r="CX97" s="394"/>
      <c r="CY97" s="395"/>
      <c r="CZ97" s="395"/>
      <c r="DA97" s="395"/>
      <c r="DB97" s="395"/>
      <c r="DC97" s="395"/>
      <c r="DD97" s="395"/>
      <c r="DE97" s="395"/>
      <c r="DF97" s="394"/>
      <c r="DG97" s="394"/>
      <c r="DH97" s="394"/>
      <c r="DI97" s="394"/>
      <c r="DJ97" s="394"/>
      <c r="DK97" s="394"/>
      <c r="DL97" s="395"/>
      <c r="DM97" s="395"/>
      <c r="DN97" s="395"/>
      <c r="DO97" s="395"/>
      <c r="DP97" s="394"/>
      <c r="DQ97" s="394"/>
      <c r="DR97" s="394"/>
      <c r="DS97" s="395"/>
      <c r="DT97" s="395"/>
      <c r="DU97" s="395"/>
      <c r="DV97" s="394"/>
      <c r="DW97" s="394"/>
      <c r="DX97" s="395"/>
      <c r="DY97" s="394"/>
      <c r="DZ97" s="394"/>
      <c r="EA97" s="394"/>
      <c r="EB97" s="394"/>
      <c r="EC97" s="354"/>
      <c r="ED97" s="354"/>
      <c r="EE97" s="364"/>
      <c r="EF97" s="360"/>
      <c r="EG97" s="364"/>
      <c r="EH97" s="360"/>
      <c r="EI97" s="361"/>
      <c r="EJ97" s="361"/>
      <c r="EK97" s="361"/>
      <c r="EL97" s="361"/>
      <c r="EM97" s="361"/>
      <c r="EN97" s="361"/>
      <c r="EO97" s="361"/>
      <c r="EP97" s="361"/>
      <c r="EQ97" s="364"/>
      <c r="ER97" s="361"/>
      <c r="ES97" s="361"/>
      <c r="ET97" s="361"/>
      <c r="EU97" s="361"/>
      <c r="EV97" s="361"/>
      <c r="EW97" s="360"/>
      <c r="EX97" s="355"/>
      <c r="EY97" s="361"/>
      <c r="EZ97" s="361"/>
      <c r="FA97" s="361"/>
      <c r="FB97" s="361"/>
      <c r="FC97" s="361"/>
      <c r="FD97" s="361"/>
      <c r="FE97" s="361"/>
      <c r="FF97" s="361"/>
      <c r="FG97" s="362"/>
      <c r="FH97" s="362"/>
      <c r="FI97" s="362"/>
      <c r="FJ97" s="360"/>
      <c r="FK97" s="360"/>
      <c r="FL97" s="360"/>
      <c r="FM97" s="360"/>
      <c r="FN97" s="360"/>
      <c r="FO97" s="364"/>
      <c r="FP97" s="364"/>
      <c r="FQ97" s="364"/>
      <c r="FR97" s="364"/>
      <c r="FS97" s="364"/>
      <c r="FT97" s="354"/>
      <c r="FU97" s="354"/>
      <c r="FV97" s="354"/>
      <c r="FW97" s="357"/>
      <c r="FX97" s="359"/>
      <c r="FY97" s="354"/>
      <c r="FZ97" s="357"/>
      <c r="GA97" s="359"/>
      <c r="GB97" s="357"/>
      <c r="GC97" s="359"/>
      <c r="GD97" s="359"/>
      <c r="GE97" s="357"/>
      <c r="GF97" s="354"/>
      <c r="GG97" s="354"/>
      <c r="GH97" s="354"/>
      <c r="GI97" s="359"/>
      <c r="GJ97" s="357"/>
      <c r="GK97" s="357"/>
      <c r="GL97" s="357"/>
      <c r="GM97" s="359"/>
      <c r="GN97" s="359"/>
      <c r="GO97" s="354"/>
      <c r="GP97" s="354"/>
      <c r="GQ97" s="358"/>
      <c r="GR97" s="359"/>
    </row>
    <row r="98" spans="1:200" ht="13.5" customHeight="1" x14ac:dyDescent="0.2">
      <c r="A98" s="384"/>
      <c r="B98" s="384"/>
      <c r="C98" s="363"/>
      <c r="D98" s="363"/>
      <c r="E98" s="364"/>
      <c r="F98" s="361"/>
      <c r="G98" s="361"/>
      <c r="H98" s="361"/>
      <c r="I98" s="361"/>
      <c r="J98" s="361"/>
      <c r="K98" s="361"/>
      <c r="L98" s="355"/>
      <c r="M98" s="374"/>
      <c r="N98" s="388"/>
      <c r="O98" s="374"/>
      <c r="P98" s="356"/>
      <c r="Q98" s="361"/>
      <c r="R98" s="364"/>
      <c r="S98" s="364"/>
      <c r="T98" s="362"/>
      <c r="U98" s="362"/>
      <c r="V98" s="362"/>
      <c r="W98" s="362"/>
      <c r="X98" s="362"/>
      <c r="Y98" s="361"/>
      <c r="Z98" s="362"/>
      <c r="AA98" s="361"/>
      <c r="AB98" s="357"/>
      <c r="AC98" s="354"/>
      <c r="AD98" s="354"/>
      <c r="AE98" s="354"/>
      <c r="AF98" s="354"/>
      <c r="AG98" s="354"/>
      <c r="AH98" s="354"/>
      <c r="AI98" s="354"/>
      <c r="AJ98" s="369"/>
      <c r="AK98" s="380"/>
      <c r="AL98" s="354"/>
      <c r="AM98" s="354"/>
      <c r="AN98" s="354"/>
      <c r="AO98" s="357"/>
      <c r="AP98" s="354"/>
      <c r="AQ98" s="357"/>
      <c r="AR98" s="354"/>
      <c r="AS98" s="357"/>
      <c r="AT98" s="357"/>
      <c r="AU98" s="354"/>
      <c r="AV98" s="354"/>
      <c r="AW98" s="380"/>
      <c r="AX98" s="354"/>
      <c r="AY98" s="362"/>
      <c r="AZ98" s="359"/>
      <c r="BA98" s="354"/>
      <c r="BB98" s="357"/>
      <c r="BC98" s="362"/>
      <c r="BD98" s="364"/>
      <c r="BE98" s="362"/>
      <c r="BF98" s="361"/>
      <c r="BG98" s="354"/>
      <c r="BH98" s="362"/>
      <c r="BI98" s="362"/>
      <c r="BJ98" s="360"/>
      <c r="BK98" s="364"/>
      <c r="BL98" s="360"/>
      <c r="BM98" s="364"/>
      <c r="BN98" s="364"/>
      <c r="BO98" s="364"/>
      <c r="BP98" s="360"/>
      <c r="BQ98" s="364"/>
      <c r="BR98" s="364"/>
      <c r="BS98" s="354"/>
      <c r="BT98" s="394"/>
      <c r="BU98" s="393"/>
      <c r="BV98" s="393"/>
      <c r="BW98" s="394"/>
      <c r="BX98" s="394"/>
      <c r="BY98" s="394"/>
      <c r="BZ98" s="394"/>
      <c r="CA98" s="394"/>
      <c r="CB98" s="394"/>
      <c r="CC98" s="394"/>
      <c r="CD98" s="394"/>
      <c r="CE98" s="393"/>
      <c r="CF98" s="354"/>
      <c r="CG98" s="354"/>
      <c r="CH98" s="354"/>
      <c r="CI98" s="354"/>
      <c r="CJ98" s="394"/>
      <c r="CK98" s="394"/>
      <c r="CL98" s="394"/>
      <c r="CM98" s="394"/>
      <c r="CN98" s="394"/>
      <c r="CO98" s="394"/>
      <c r="CP98" s="394"/>
      <c r="CQ98" s="395"/>
      <c r="CR98" s="395"/>
      <c r="CS98" s="395"/>
      <c r="CT98" s="394"/>
      <c r="CU98" s="395"/>
      <c r="CV98" s="395"/>
      <c r="CW98" s="395"/>
      <c r="CX98" s="394"/>
      <c r="CY98" s="395"/>
      <c r="CZ98" s="395"/>
      <c r="DA98" s="395"/>
      <c r="DB98" s="395"/>
      <c r="DC98" s="395"/>
      <c r="DD98" s="395"/>
      <c r="DE98" s="395"/>
      <c r="DF98" s="395"/>
      <c r="DG98" s="395"/>
      <c r="DH98" s="394"/>
      <c r="DI98" s="394"/>
      <c r="DJ98" s="394"/>
      <c r="DK98" s="395"/>
      <c r="DL98" s="395"/>
      <c r="DM98" s="395"/>
      <c r="DN98" s="395"/>
      <c r="DO98" s="395"/>
      <c r="DP98" s="394"/>
      <c r="DQ98" s="394"/>
      <c r="DR98" s="395"/>
      <c r="DS98" s="395"/>
      <c r="DT98" s="395"/>
      <c r="DU98" s="395"/>
      <c r="DV98" s="394"/>
      <c r="DW98" s="394"/>
      <c r="DX98" s="395"/>
      <c r="DY98" s="395"/>
      <c r="DZ98" s="394"/>
      <c r="EA98" s="394"/>
      <c r="EB98" s="394"/>
      <c r="EC98" s="354"/>
      <c r="ED98" s="354"/>
      <c r="EE98" s="360"/>
      <c r="EF98" s="360"/>
      <c r="EG98" s="361"/>
      <c r="EH98" s="361"/>
      <c r="EI98" s="361"/>
      <c r="EJ98" s="361"/>
      <c r="EK98" s="361"/>
      <c r="EL98" s="361"/>
      <c r="EM98" s="361"/>
      <c r="EN98" s="361"/>
      <c r="EO98" s="364"/>
      <c r="EP98" s="360"/>
      <c r="EQ98" s="360"/>
      <c r="ER98" s="360"/>
      <c r="ES98" s="361"/>
      <c r="ET98" s="355"/>
      <c r="EU98" s="360"/>
      <c r="EV98" s="361"/>
      <c r="EW98" s="361"/>
      <c r="EX98" s="361"/>
      <c r="EY98" s="360"/>
      <c r="EZ98" s="361"/>
      <c r="FA98" s="361"/>
      <c r="FB98" s="361"/>
      <c r="FC98" s="361"/>
      <c r="FD98" s="361"/>
      <c r="FE98" s="361"/>
      <c r="FF98" s="355"/>
      <c r="FG98" s="362"/>
      <c r="FH98" s="360"/>
      <c r="FI98" s="360"/>
      <c r="FJ98" s="360"/>
      <c r="FK98" s="360"/>
      <c r="FL98" s="364"/>
      <c r="FM98" s="364"/>
      <c r="FN98" s="364"/>
      <c r="FO98" s="374"/>
      <c r="FP98" s="354"/>
      <c r="FQ98" s="354"/>
      <c r="FR98" s="354"/>
      <c r="FS98" s="357"/>
      <c r="FT98" s="357"/>
      <c r="FU98" s="357"/>
      <c r="FV98" s="357"/>
      <c r="FW98" s="359"/>
      <c r="FX98" s="359"/>
      <c r="FY98" s="357"/>
      <c r="FZ98" s="357"/>
      <c r="GA98" s="357"/>
      <c r="GB98" s="359"/>
      <c r="GC98" s="358"/>
      <c r="GD98" s="359"/>
      <c r="GE98" s="357"/>
      <c r="GF98" s="354"/>
      <c r="GG98" s="354"/>
      <c r="GH98" s="357"/>
      <c r="GI98" s="357"/>
      <c r="GJ98" s="357"/>
      <c r="GK98" s="357"/>
      <c r="GL98" s="357"/>
      <c r="GM98" s="359"/>
      <c r="GN98" s="359"/>
      <c r="GO98" s="354"/>
      <c r="GP98" s="354"/>
      <c r="GQ98" s="358"/>
      <c r="GR98" s="358"/>
    </row>
    <row r="99" spans="1:200" ht="13.5" customHeight="1" x14ac:dyDescent="0.2">
      <c r="A99" s="363"/>
      <c r="B99" s="356"/>
      <c r="C99" s="356"/>
      <c r="D99" s="356"/>
      <c r="E99" s="355"/>
      <c r="F99" s="361"/>
      <c r="G99" s="361"/>
      <c r="H99" s="361"/>
      <c r="I99" s="355"/>
      <c r="J99" s="355"/>
      <c r="K99" s="361"/>
      <c r="L99" s="356"/>
      <c r="M99" s="355"/>
      <c r="N99" s="374"/>
      <c r="O99" s="388"/>
      <c r="P99" s="364"/>
      <c r="Q99" s="361"/>
      <c r="R99" s="361"/>
      <c r="S99" s="360"/>
      <c r="T99" s="364"/>
      <c r="U99" s="362"/>
      <c r="V99" s="362"/>
      <c r="W99" s="361"/>
      <c r="X99" s="362"/>
      <c r="Y99" s="362"/>
      <c r="Z99" s="362"/>
      <c r="AA99" s="361"/>
      <c r="AB99" s="357"/>
      <c r="AC99" s="357"/>
      <c r="AD99" s="354"/>
      <c r="AE99" s="354"/>
      <c r="AF99" s="354"/>
      <c r="AG99" s="354"/>
      <c r="AH99" s="354"/>
      <c r="AI99" s="354"/>
      <c r="AJ99" s="380"/>
      <c r="AK99" s="380"/>
      <c r="AL99" s="354"/>
      <c r="AM99" s="354"/>
      <c r="AN99" s="354"/>
      <c r="AO99" s="357"/>
      <c r="AP99" s="354"/>
      <c r="AQ99" s="357"/>
      <c r="AR99" s="354"/>
      <c r="AS99" s="357"/>
      <c r="AT99" s="354"/>
      <c r="AU99" s="354"/>
      <c r="AV99" s="357"/>
      <c r="AW99" s="380"/>
      <c r="AX99" s="357"/>
      <c r="AY99" s="362"/>
      <c r="AZ99" s="358"/>
      <c r="BA99" s="354"/>
      <c r="BB99" s="362"/>
      <c r="BC99" s="361"/>
      <c r="BD99" s="361"/>
      <c r="BE99" s="364"/>
      <c r="BF99" s="354"/>
      <c r="BG99" s="354"/>
      <c r="BH99" s="362"/>
      <c r="BI99" s="362"/>
      <c r="BJ99" s="362"/>
      <c r="BK99" s="364"/>
      <c r="BL99" s="364"/>
      <c r="BM99" s="364"/>
      <c r="BN99" s="360"/>
      <c r="BO99" s="360"/>
      <c r="BP99" s="360"/>
      <c r="BQ99" s="364"/>
      <c r="BR99" s="354"/>
      <c r="BS99" s="354"/>
      <c r="BT99" s="393"/>
      <c r="BU99" s="393"/>
      <c r="BV99" s="393"/>
      <c r="BW99" s="394"/>
      <c r="BX99" s="395"/>
      <c r="BY99" s="395"/>
      <c r="BZ99" s="394"/>
      <c r="CA99" s="394"/>
      <c r="CB99" s="394"/>
      <c r="CC99" s="394"/>
      <c r="CD99" s="394"/>
      <c r="CE99" s="393"/>
      <c r="CF99" s="354"/>
      <c r="CG99" s="377"/>
      <c r="CH99" s="354"/>
      <c r="CI99" s="354"/>
      <c r="CJ99" s="394"/>
      <c r="CK99" s="394"/>
      <c r="CL99" s="394"/>
      <c r="CM99" s="394"/>
      <c r="CN99" s="394"/>
      <c r="CO99" s="395"/>
      <c r="CP99" s="395"/>
      <c r="CQ99" s="395"/>
      <c r="CR99" s="395"/>
      <c r="CS99" s="395"/>
      <c r="CT99" s="394"/>
      <c r="CU99" s="395"/>
      <c r="CV99" s="395"/>
      <c r="CW99" s="395"/>
      <c r="CX99" s="394"/>
      <c r="CY99" s="395"/>
      <c r="CZ99" s="395"/>
      <c r="DA99" s="395"/>
      <c r="DB99" s="395"/>
      <c r="DC99" s="395"/>
      <c r="DD99" s="395"/>
      <c r="DE99" s="395"/>
      <c r="DF99" s="395"/>
      <c r="DG99" s="395"/>
      <c r="DH99" s="395"/>
      <c r="DI99" s="394"/>
      <c r="DJ99" s="394"/>
      <c r="DK99" s="395"/>
      <c r="DL99" s="395"/>
      <c r="DM99" s="395"/>
      <c r="DN99" s="395"/>
      <c r="DO99" s="395"/>
      <c r="DP99" s="394"/>
      <c r="DQ99" s="394"/>
      <c r="DR99" s="395"/>
      <c r="DS99" s="395"/>
      <c r="DT99" s="395"/>
      <c r="DU99" s="394"/>
      <c r="DV99" s="394"/>
      <c r="DW99" s="394"/>
      <c r="DX99" s="395"/>
      <c r="DY99" s="395"/>
      <c r="DZ99" s="394"/>
      <c r="EA99" s="394"/>
      <c r="EB99" s="394"/>
      <c r="EC99" s="394"/>
      <c r="ED99" s="354"/>
      <c r="EE99" s="361"/>
      <c r="EF99" s="361"/>
      <c r="EG99" s="361"/>
      <c r="EH99" s="360"/>
      <c r="EI99" s="364"/>
      <c r="EJ99" s="364"/>
      <c r="EK99" s="360"/>
      <c r="EL99" s="360"/>
      <c r="EM99" s="360"/>
      <c r="EN99" s="360"/>
      <c r="EO99" s="360"/>
      <c r="EP99" s="356"/>
      <c r="EQ99" s="355"/>
      <c r="ER99" s="364"/>
      <c r="ES99" s="360"/>
      <c r="ET99" s="360"/>
      <c r="EU99" s="361"/>
      <c r="EV99" s="355"/>
      <c r="EW99" s="360"/>
      <c r="EX99" s="361"/>
      <c r="EY99" s="361"/>
      <c r="EZ99" s="361"/>
      <c r="FA99" s="361"/>
      <c r="FB99" s="361"/>
      <c r="FC99" s="361"/>
      <c r="FD99" s="361"/>
      <c r="FE99" s="364"/>
      <c r="FF99" s="364"/>
      <c r="FG99" s="360"/>
      <c r="FH99" s="360"/>
      <c r="FI99" s="361"/>
      <c r="FJ99" s="361"/>
      <c r="FK99" s="360"/>
      <c r="FL99" s="356"/>
      <c r="FM99" s="354"/>
      <c r="FN99" s="354"/>
      <c r="FO99" s="354"/>
      <c r="FP99" s="359"/>
      <c r="FQ99" s="359"/>
      <c r="FR99" s="357"/>
      <c r="FS99" s="359"/>
      <c r="FT99" s="359"/>
      <c r="FU99" s="357"/>
      <c r="FV99" s="359"/>
      <c r="FW99" s="359"/>
      <c r="FX99" s="359"/>
      <c r="FY99" s="359"/>
      <c r="FZ99" s="357"/>
      <c r="GA99" s="357"/>
      <c r="GB99" s="357"/>
      <c r="GC99" s="358"/>
      <c r="GD99" s="359"/>
      <c r="GE99" s="357"/>
      <c r="GF99" s="354"/>
      <c r="GG99" s="354"/>
      <c r="GH99" s="357"/>
      <c r="GI99" s="357"/>
      <c r="GJ99" s="354"/>
      <c r="GK99" s="357"/>
      <c r="GL99" s="357"/>
      <c r="GM99" s="359"/>
      <c r="GN99" s="359"/>
      <c r="GO99" s="357"/>
      <c r="GP99" s="357"/>
      <c r="GQ99" s="358"/>
      <c r="GR99" s="357"/>
    </row>
    <row r="100" spans="1:200" ht="13.5" customHeight="1" x14ac:dyDescent="0.2">
      <c r="A100" s="355"/>
      <c r="B100" s="355"/>
      <c r="C100" s="356"/>
      <c r="D100" s="355"/>
      <c r="E100" s="355"/>
      <c r="F100" s="356"/>
      <c r="G100" s="360"/>
      <c r="H100" s="356"/>
      <c r="I100" s="356"/>
      <c r="J100" s="356"/>
      <c r="K100" s="360"/>
      <c r="L100" s="360"/>
      <c r="M100" s="356"/>
      <c r="N100" s="356"/>
      <c r="O100" s="374"/>
      <c r="P100" s="374"/>
      <c r="Q100" s="364"/>
      <c r="R100" s="355"/>
      <c r="S100" s="361"/>
      <c r="T100" s="360"/>
      <c r="U100" s="364"/>
      <c r="V100" s="361"/>
      <c r="W100" s="361"/>
      <c r="X100" s="361"/>
      <c r="Y100" s="362"/>
      <c r="Z100" s="362"/>
      <c r="AA100" s="362"/>
      <c r="AB100" s="357"/>
      <c r="AC100" s="354"/>
      <c r="AD100" s="354"/>
      <c r="AE100" s="354"/>
      <c r="AF100" s="354"/>
      <c r="AG100" s="354"/>
      <c r="AH100" s="354"/>
      <c r="AI100" s="354"/>
      <c r="AJ100" s="354"/>
      <c r="AK100" s="380"/>
      <c r="AL100" s="381"/>
      <c r="AM100" s="380"/>
      <c r="AN100" s="357"/>
      <c r="AO100" s="354"/>
      <c r="AP100" s="354"/>
      <c r="AQ100" s="380"/>
      <c r="AR100" s="354"/>
      <c r="AS100" s="357"/>
      <c r="AT100" s="354"/>
      <c r="AU100" s="354"/>
      <c r="AV100" s="354"/>
      <c r="AW100" s="380"/>
      <c r="AX100" s="357"/>
      <c r="AY100" s="361"/>
      <c r="AZ100" s="357"/>
      <c r="BA100" s="354"/>
      <c r="BB100" s="361"/>
      <c r="BC100" s="362"/>
      <c r="BD100" s="362"/>
      <c r="BE100" s="358"/>
      <c r="BF100" s="354"/>
      <c r="BG100" s="354"/>
      <c r="BH100" s="362"/>
      <c r="BI100" s="362"/>
      <c r="BJ100" s="361"/>
      <c r="BK100" s="361"/>
      <c r="BL100" s="364"/>
      <c r="BM100" s="361"/>
      <c r="BN100" s="361"/>
      <c r="BO100" s="361"/>
      <c r="BP100" s="361"/>
      <c r="BQ100" s="361"/>
      <c r="BR100" s="354"/>
      <c r="BS100" s="393"/>
      <c r="BT100" s="393"/>
      <c r="BU100" s="393"/>
      <c r="BV100" s="393"/>
      <c r="BW100" s="394"/>
      <c r="BX100" s="395"/>
      <c r="BY100" s="395"/>
      <c r="BZ100" s="394"/>
      <c r="CA100" s="394"/>
      <c r="CB100" s="394"/>
      <c r="CC100" s="394"/>
      <c r="CD100" s="394"/>
      <c r="CE100" s="394"/>
      <c r="CF100" s="354"/>
      <c r="CG100" s="377"/>
      <c r="CH100" s="354"/>
      <c r="CI100" s="354"/>
      <c r="CJ100" s="394"/>
      <c r="CK100" s="394"/>
      <c r="CL100" s="394"/>
      <c r="CM100" s="394"/>
      <c r="CN100" s="394"/>
      <c r="CO100" s="394"/>
      <c r="CP100" s="394"/>
      <c r="CQ100" s="394"/>
      <c r="CR100" s="395"/>
      <c r="CS100" s="395"/>
      <c r="CT100" s="395"/>
      <c r="CU100" s="395"/>
      <c r="CV100" s="395"/>
      <c r="CW100" s="395"/>
      <c r="CX100" s="395"/>
      <c r="CY100" s="395"/>
      <c r="CZ100" s="395"/>
      <c r="DA100" s="395"/>
      <c r="DB100" s="395"/>
      <c r="DC100" s="395"/>
      <c r="DD100" s="395"/>
      <c r="DE100" s="395"/>
      <c r="DF100" s="395"/>
      <c r="DG100" s="395"/>
      <c r="DH100" s="395"/>
      <c r="DI100" s="394"/>
      <c r="DJ100" s="394"/>
      <c r="DK100" s="395"/>
      <c r="DL100" s="395"/>
      <c r="DM100" s="395"/>
      <c r="DN100" s="395"/>
      <c r="DO100" s="395"/>
      <c r="DP100" s="394"/>
      <c r="DQ100" s="394"/>
      <c r="DR100" s="395"/>
      <c r="DS100" s="395"/>
      <c r="DT100" s="395"/>
      <c r="DU100" s="394"/>
      <c r="DV100" s="394"/>
      <c r="DW100" s="394"/>
      <c r="DX100" s="395"/>
      <c r="DY100" s="395"/>
      <c r="DZ100" s="394"/>
      <c r="EA100" s="394"/>
      <c r="EB100" s="394"/>
      <c r="EC100" s="394"/>
      <c r="ED100" s="354"/>
      <c r="EE100" s="356"/>
      <c r="EF100" s="364"/>
      <c r="EG100" s="364"/>
      <c r="EH100" s="361"/>
      <c r="EI100" s="355"/>
      <c r="EJ100" s="360"/>
      <c r="EK100" s="360"/>
      <c r="EL100" s="360"/>
      <c r="EM100" s="361"/>
      <c r="EN100" s="361"/>
      <c r="EO100" s="361"/>
      <c r="EP100" s="364"/>
      <c r="EQ100" s="364"/>
      <c r="ER100" s="364"/>
      <c r="ES100" s="361"/>
      <c r="ET100" s="355"/>
      <c r="EU100" s="360"/>
      <c r="EV100" s="360"/>
      <c r="EW100" s="360"/>
      <c r="EX100" s="361"/>
      <c r="EY100" s="361"/>
      <c r="EZ100" s="360"/>
      <c r="FA100" s="360"/>
      <c r="FB100" s="361"/>
      <c r="FC100" s="355"/>
      <c r="FD100" s="385"/>
      <c r="FE100" s="364"/>
      <c r="FF100" s="362"/>
      <c r="FG100" s="362"/>
      <c r="FH100" s="362"/>
      <c r="FI100" s="358"/>
      <c r="FJ100" s="359"/>
      <c r="FK100" s="358"/>
      <c r="FL100" s="354"/>
      <c r="FM100" s="357"/>
      <c r="FN100" s="358"/>
      <c r="FO100" s="359"/>
      <c r="FP100" s="359"/>
      <c r="FQ100" s="359"/>
      <c r="FR100" s="359"/>
      <c r="FS100" s="359"/>
      <c r="FT100" s="357"/>
      <c r="FU100" s="357"/>
      <c r="FV100" s="359"/>
      <c r="FW100" s="359"/>
      <c r="FX100" s="359"/>
      <c r="FY100" s="357"/>
      <c r="FZ100" s="354"/>
      <c r="GA100" s="354"/>
      <c r="GB100" s="354"/>
      <c r="GC100" s="359"/>
      <c r="GD100" s="354"/>
      <c r="GE100" s="357"/>
      <c r="GF100" s="357"/>
      <c r="GG100" s="354"/>
      <c r="GH100" s="357"/>
      <c r="GI100" s="354"/>
      <c r="GJ100" s="354"/>
      <c r="GK100" s="354"/>
      <c r="GL100" s="354"/>
      <c r="GM100" s="354"/>
      <c r="GN100" s="357"/>
      <c r="GO100" s="357"/>
      <c r="GP100" s="354"/>
      <c r="GQ100" s="357"/>
      <c r="GR100" s="354"/>
    </row>
    <row r="101" spans="1:200" ht="13.5" customHeight="1" x14ac:dyDescent="0.2">
      <c r="A101" s="355"/>
      <c r="B101" s="356"/>
      <c r="C101" s="356"/>
      <c r="D101" s="355"/>
      <c r="E101" s="355"/>
      <c r="F101" s="362"/>
      <c r="G101" s="361"/>
      <c r="H101" s="361"/>
      <c r="I101" s="361"/>
      <c r="J101" s="361"/>
      <c r="K101" s="356"/>
      <c r="L101" s="356"/>
      <c r="M101" s="364"/>
      <c r="N101" s="364"/>
      <c r="O101" s="363"/>
      <c r="P101" s="374"/>
      <c r="Q101" s="374"/>
      <c r="R101" s="364"/>
      <c r="S101" s="364"/>
      <c r="T101" s="360"/>
      <c r="U101" s="360"/>
      <c r="V101" s="360"/>
      <c r="W101" s="361"/>
      <c r="X101" s="361"/>
      <c r="Y101" s="361"/>
      <c r="Z101" s="362"/>
      <c r="AA101" s="362"/>
      <c r="AB101" s="357"/>
      <c r="AC101" s="380"/>
      <c r="AD101" s="357"/>
      <c r="AE101" s="354"/>
      <c r="AF101" s="357"/>
      <c r="AG101" s="354"/>
      <c r="AH101" s="354"/>
      <c r="AI101" s="380"/>
      <c r="AJ101" s="354"/>
      <c r="AK101" s="380"/>
      <c r="AL101" s="381"/>
      <c r="AM101" s="381"/>
      <c r="AN101" s="354"/>
      <c r="AO101" s="354"/>
      <c r="AP101" s="354"/>
      <c r="AQ101" s="380"/>
      <c r="AR101" s="354"/>
      <c r="AS101" s="357"/>
      <c r="AT101" s="354"/>
      <c r="AU101" s="354"/>
      <c r="AV101" s="354"/>
      <c r="AW101" s="380"/>
      <c r="AX101" s="357"/>
      <c r="AY101" s="355"/>
      <c r="AZ101" s="354"/>
      <c r="BA101" s="357"/>
      <c r="BB101" s="362"/>
      <c r="BC101" s="362"/>
      <c r="BD101" s="362"/>
      <c r="BE101" s="359"/>
      <c r="BF101" s="354"/>
      <c r="BG101" s="355"/>
      <c r="BH101" s="362"/>
      <c r="BI101" s="362"/>
      <c r="BJ101" s="361"/>
      <c r="BK101" s="361"/>
      <c r="BL101" s="361"/>
      <c r="BM101" s="362"/>
      <c r="BN101" s="361"/>
      <c r="BO101" s="361"/>
      <c r="BP101" s="361"/>
      <c r="BQ101" s="361"/>
      <c r="BR101" s="354"/>
      <c r="BS101" s="393"/>
      <c r="BT101" s="393"/>
      <c r="BU101" s="393"/>
      <c r="BV101" s="393"/>
      <c r="BW101" s="394"/>
      <c r="BX101" s="395"/>
      <c r="BY101" s="394"/>
      <c r="BZ101" s="394"/>
      <c r="CA101" s="394"/>
      <c r="CB101" s="394"/>
      <c r="CC101" s="394"/>
      <c r="CD101" s="394"/>
      <c r="CE101" s="394"/>
      <c r="CF101" s="354"/>
      <c r="CG101" s="354"/>
      <c r="CH101" s="354"/>
      <c r="CI101" s="393"/>
      <c r="CJ101" s="394"/>
      <c r="CK101" s="394"/>
      <c r="CL101" s="394"/>
      <c r="CM101" s="394"/>
      <c r="CN101" s="394"/>
      <c r="CO101" s="394"/>
      <c r="CP101" s="394"/>
      <c r="CQ101" s="394"/>
      <c r="CR101" s="395"/>
      <c r="CS101" s="394"/>
      <c r="CT101" s="394"/>
      <c r="CU101" s="395"/>
      <c r="CV101" s="395"/>
      <c r="CW101" s="394"/>
      <c r="CX101" s="394"/>
      <c r="CY101" s="395"/>
      <c r="CZ101" s="395"/>
      <c r="DA101" s="394"/>
      <c r="DB101" s="395"/>
      <c r="DC101" s="395"/>
      <c r="DD101" s="395"/>
      <c r="DE101" s="395"/>
      <c r="DF101" s="395"/>
      <c r="DG101" s="395"/>
      <c r="DH101" s="394"/>
      <c r="DI101" s="394"/>
      <c r="DJ101" s="395"/>
      <c r="DK101" s="395"/>
      <c r="DL101" s="395"/>
      <c r="DM101" s="395"/>
      <c r="DN101" s="394"/>
      <c r="DO101" s="395"/>
      <c r="DP101" s="394"/>
      <c r="DQ101" s="395"/>
      <c r="DR101" s="395"/>
      <c r="DS101" s="395"/>
      <c r="DT101" s="395"/>
      <c r="DU101" s="394"/>
      <c r="DV101" s="394"/>
      <c r="DW101" s="394"/>
      <c r="DX101" s="394"/>
      <c r="DY101" s="395"/>
      <c r="DZ101" s="394"/>
      <c r="EA101" s="394"/>
      <c r="EB101" s="394"/>
      <c r="EC101" s="394"/>
      <c r="ED101" s="354"/>
      <c r="EE101" s="354"/>
      <c r="EF101" s="356"/>
      <c r="EG101" s="355"/>
      <c r="EH101" s="355"/>
      <c r="EI101" s="360"/>
      <c r="EJ101" s="360"/>
      <c r="EK101" s="361"/>
      <c r="EL101" s="361"/>
      <c r="EM101" s="361"/>
      <c r="EN101" s="360"/>
      <c r="EO101" s="364"/>
      <c r="EP101" s="360"/>
      <c r="EQ101" s="360"/>
      <c r="ER101" s="361"/>
      <c r="ES101" s="361"/>
      <c r="ET101" s="360"/>
      <c r="EU101" s="360"/>
      <c r="EV101" s="360"/>
      <c r="EW101" s="361"/>
      <c r="EX101" s="361"/>
      <c r="EY101" s="360"/>
      <c r="EZ101" s="360"/>
      <c r="FA101" s="361"/>
      <c r="FB101" s="361"/>
      <c r="FC101" s="359"/>
      <c r="FD101" s="359"/>
      <c r="FE101" s="358"/>
      <c r="FF101" s="358"/>
      <c r="FG101" s="358"/>
      <c r="FH101" s="359"/>
      <c r="FI101" s="358"/>
      <c r="FJ101" s="359"/>
      <c r="FK101" s="354"/>
      <c r="FL101" s="354"/>
      <c r="FM101" s="359"/>
      <c r="FN101" s="359"/>
      <c r="FO101" s="359"/>
      <c r="FP101" s="359"/>
      <c r="FQ101" s="359"/>
      <c r="FR101" s="359"/>
      <c r="FS101" s="359"/>
      <c r="FT101" s="354"/>
      <c r="FU101" s="357"/>
      <c r="FV101" s="359"/>
      <c r="FW101" s="357"/>
      <c r="FX101" s="357"/>
      <c r="FY101" s="357"/>
      <c r="FZ101" s="354"/>
      <c r="GA101" s="354"/>
      <c r="GB101" s="354"/>
      <c r="GC101" s="361"/>
      <c r="GD101" s="362"/>
      <c r="GE101" s="358"/>
      <c r="GF101" s="358"/>
      <c r="GG101" s="362"/>
      <c r="GH101" s="362"/>
      <c r="GI101" s="358"/>
      <c r="GJ101" s="362"/>
      <c r="GK101" s="361"/>
      <c r="GL101" s="362"/>
      <c r="GM101" s="362"/>
      <c r="GN101" s="362"/>
      <c r="GO101" s="362"/>
      <c r="GP101" s="361"/>
      <c r="GQ101" s="361"/>
      <c r="GR101" s="361"/>
    </row>
    <row r="102" spans="1:200" ht="13.5" customHeight="1" x14ac:dyDescent="0.2">
      <c r="A102" s="363"/>
      <c r="B102" s="363"/>
      <c r="C102" s="363"/>
      <c r="D102" s="364"/>
      <c r="E102" s="356"/>
      <c r="F102" s="355"/>
      <c r="G102" s="362"/>
      <c r="H102" s="361"/>
      <c r="I102" s="361"/>
      <c r="J102" s="361"/>
      <c r="K102" s="361"/>
      <c r="L102" s="361"/>
      <c r="M102" s="364"/>
      <c r="N102" s="364"/>
      <c r="O102" s="364"/>
      <c r="P102" s="364"/>
      <c r="Q102" s="364"/>
      <c r="R102" s="364"/>
      <c r="S102" s="364"/>
      <c r="T102" s="360"/>
      <c r="U102" s="360"/>
      <c r="V102" s="360"/>
      <c r="W102" s="360"/>
      <c r="X102" s="361"/>
      <c r="Y102" s="361"/>
      <c r="Z102" s="361"/>
      <c r="AA102" s="355"/>
      <c r="AB102" s="357"/>
      <c r="AC102" s="357"/>
      <c r="AD102" s="354"/>
      <c r="AE102" s="354"/>
      <c r="AF102" s="354"/>
      <c r="AG102" s="354"/>
      <c r="AH102" s="354"/>
      <c r="AI102" s="357"/>
      <c r="AJ102" s="354"/>
      <c r="AK102" s="381"/>
      <c r="AL102" s="381"/>
      <c r="AM102" s="380"/>
      <c r="AN102" s="354"/>
      <c r="AO102" s="354"/>
      <c r="AP102" s="354"/>
      <c r="AQ102" s="354"/>
      <c r="AR102" s="354"/>
      <c r="AS102" s="354"/>
      <c r="AT102" s="354"/>
      <c r="AU102" s="380"/>
      <c r="AV102" s="354"/>
      <c r="AW102" s="380"/>
      <c r="AX102" s="357"/>
      <c r="AY102" s="355"/>
      <c r="AZ102" s="357"/>
      <c r="BA102" s="357"/>
      <c r="BB102" s="362"/>
      <c r="BC102" s="364"/>
      <c r="BD102" s="364"/>
      <c r="BE102" s="354"/>
      <c r="BF102" s="354"/>
      <c r="BG102" s="357"/>
      <c r="BH102" s="362"/>
      <c r="BI102" s="362"/>
      <c r="BJ102" s="362"/>
      <c r="BK102" s="362"/>
      <c r="BL102" s="362"/>
      <c r="BM102" s="362"/>
      <c r="BN102" s="362"/>
      <c r="BO102" s="362"/>
      <c r="BP102" s="362"/>
      <c r="BQ102" s="361"/>
      <c r="BR102" s="354"/>
      <c r="BS102" s="393"/>
      <c r="BT102" s="393"/>
      <c r="BU102" s="393"/>
      <c r="BV102" s="393"/>
      <c r="BW102" s="394"/>
      <c r="BX102" s="395"/>
      <c r="BY102" s="394"/>
      <c r="BZ102" s="394"/>
      <c r="CA102" s="394"/>
      <c r="CB102" s="394"/>
      <c r="CC102" s="394"/>
      <c r="CD102" s="394"/>
      <c r="CE102" s="394"/>
      <c r="CF102" s="394"/>
      <c r="CG102" s="354"/>
      <c r="CH102" s="354"/>
      <c r="CI102" s="394"/>
      <c r="CJ102" s="394"/>
      <c r="CK102" s="394"/>
      <c r="CL102" s="394"/>
      <c r="CM102" s="394"/>
      <c r="CN102" s="394"/>
      <c r="CO102" s="394"/>
      <c r="CP102" s="394"/>
      <c r="CQ102" s="394"/>
      <c r="CR102" s="395"/>
      <c r="CS102" s="395"/>
      <c r="CT102" s="395"/>
      <c r="CU102" s="395"/>
      <c r="CV102" s="395"/>
      <c r="CW102" s="394"/>
      <c r="CX102" s="394"/>
      <c r="CY102" s="394"/>
      <c r="CZ102" s="394"/>
      <c r="DA102" s="395"/>
      <c r="DB102" s="395"/>
      <c r="DC102" s="395"/>
      <c r="DD102" s="395"/>
      <c r="DE102" s="395"/>
      <c r="DF102" s="395"/>
      <c r="DG102" s="395"/>
      <c r="DH102" s="394"/>
      <c r="DI102" s="394"/>
      <c r="DJ102" s="395"/>
      <c r="DK102" s="395"/>
      <c r="DL102" s="395"/>
      <c r="DM102" s="395"/>
      <c r="DN102" s="395"/>
      <c r="DO102" s="395"/>
      <c r="DP102" s="394"/>
      <c r="DQ102" s="394"/>
      <c r="DR102" s="395"/>
      <c r="DS102" s="395"/>
      <c r="DT102" s="395"/>
      <c r="DU102" s="394"/>
      <c r="DV102" s="394"/>
      <c r="DW102" s="394"/>
      <c r="DX102" s="394"/>
      <c r="DY102" s="395"/>
      <c r="DZ102" s="394"/>
      <c r="EA102" s="394"/>
      <c r="EB102" s="394"/>
      <c r="EC102" s="394"/>
      <c r="ED102" s="354"/>
      <c r="EE102" s="354"/>
      <c r="EF102" s="354"/>
      <c r="EG102" s="364"/>
      <c r="EH102" s="364"/>
      <c r="EI102" s="364"/>
      <c r="EJ102" s="360"/>
      <c r="EK102" s="364"/>
      <c r="EL102" s="364"/>
      <c r="EM102" s="364"/>
      <c r="EN102" s="364"/>
      <c r="EO102" s="360"/>
      <c r="EP102" s="360"/>
      <c r="EQ102" s="361"/>
      <c r="ER102" s="361"/>
      <c r="ES102" s="360"/>
      <c r="ET102" s="362"/>
      <c r="EU102" s="361"/>
      <c r="EV102" s="361"/>
      <c r="EW102" s="361"/>
      <c r="EX102" s="358"/>
      <c r="EY102" s="358"/>
      <c r="EZ102" s="358"/>
      <c r="FA102" s="358"/>
      <c r="FB102" s="358"/>
      <c r="FC102" s="359"/>
      <c r="FD102" s="358"/>
      <c r="FE102" s="358"/>
      <c r="FF102" s="358"/>
      <c r="FG102" s="359"/>
      <c r="FH102" s="359"/>
      <c r="FI102" s="358"/>
      <c r="FJ102" s="357"/>
      <c r="FK102" s="354"/>
      <c r="FL102" s="357"/>
      <c r="FM102" s="357"/>
      <c r="FN102" s="357"/>
      <c r="FO102" s="357"/>
      <c r="FP102" s="354"/>
      <c r="FQ102" s="357"/>
      <c r="FR102" s="359"/>
      <c r="FS102" s="357"/>
      <c r="FT102" s="357"/>
      <c r="FU102" s="357"/>
      <c r="FV102" s="359"/>
      <c r="FW102" s="357"/>
      <c r="FX102" s="357"/>
      <c r="FY102" s="362"/>
      <c r="FZ102" s="362"/>
      <c r="GA102" s="362"/>
      <c r="GB102" s="362"/>
      <c r="GC102" s="362"/>
      <c r="GD102" s="362"/>
      <c r="GE102" s="361"/>
      <c r="GF102" s="362"/>
      <c r="GG102" s="362"/>
      <c r="GH102" s="362"/>
      <c r="GI102" s="362"/>
      <c r="GJ102" s="362"/>
      <c r="GK102" s="362"/>
      <c r="GL102" s="358"/>
      <c r="GM102" s="362"/>
      <c r="GN102" s="362"/>
      <c r="GO102" s="362"/>
      <c r="GP102" s="362"/>
      <c r="GQ102" s="358"/>
      <c r="GR102" s="358"/>
    </row>
    <row r="103" spans="1:200" ht="13.5" customHeight="1" x14ac:dyDescent="0.2">
      <c r="A103" s="388"/>
      <c r="B103" s="388"/>
      <c r="C103" s="374"/>
      <c r="D103" s="364"/>
      <c r="E103" s="355"/>
      <c r="F103" s="355"/>
      <c r="G103" s="361"/>
      <c r="H103" s="355"/>
      <c r="I103" s="355"/>
      <c r="J103" s="355"/>
      <c r="K103" s="361"/>
      <c r="L103" s="361"/>
      <c r="M103" s="360"/>
      <c r="N103" s="364"/>
      <c r="O103" s="364"/>
      <c r="P103" s="364"/>
      <c r="Q103" s="364"/>
      <c r="R103" s="360"/>
      <c r="S103" s="364"/>
      <c r="T103" s="360"/>
      <c r="U103" s="364"/>
      <c r="V103" s="360"/>
      <c r="W103" s="360"/>
      <c r="X103" s="361"/>
      <c r="Y103" s="361"/>
      <c r="Z103" s="355"/>
      <c r="AA103" s="356"/>
      <c r="AB103" s="356"/>
      <c r="AC103" s="357"/>
      <c r="AD103" s="354"/>
      <c r="AE103" s="354"/>
      <c r="AF103" s="354"/>
      <c r="AG103" s="354"/>
      <c r="AH103" s="354"/>
      <c r="AI103" s="357"/>
      <c r="AJ103" s="354"/>
      <c r="AK103" s="381"/>
      <c r="AL103" s="381"/>
      <c r="AM103" s="354"/>
      <c r="AN103" s="354"/>
      <c r="AO103" s="354"/>
      <c r="AP103" s="357"/>
      <c r="AQ103" s="354"/>
      <c r="AR103" s="354"/>
      <c r="AS103" s="354"/>
      <c r="AT103" s="354"/>
      <c r="AU103" s="380"/>
      <c r="AV103" s="380"/>
      <c r="AW103" s="369"/>
      <c r="AX103" s="357"/>
      <c r="AY103" s="356"/>
      <c r="AZ103" s="357"/>
      <c r="BA103" s="357"/>
      <c r="BB103" s="362"/>
      <c r="BC103" s="364"/>
      <c r="BD103" s="362"/>
      <c r="BE103" s="354"/>
      <c r="BF103" s="380"/>
      <c r="BG103" s="357"/>
      <c r="BH103" s="361"/>
      <c r="BI103" s="362"/>
      <c r="BJ103" s="362"/>
      <c r="BK103" s="361"/>
      <c r="BL103" s="361"/>
      <c r="BM103" s="360"/>
      <c r="BN103" s="362"/>
      <c r="BO103" s="360"/>
      <c r="BP103" s="360"/>
      <c r="BQ103" s="360"/>
      <c r="BR103" s="354"/>
      <c r="BS103" s="394"/>
      <c r="BT103" s="393"/>
      <c r="BU103" s="393"/>
      <c r="BV103" s="393"/>
      <c r="BW103" s="394"/>
      <c r="BX103" s="394"/>
      <c r="BY103" s="394"/>
      <c r="BZ103" s="394"/>
      <c r="CA103" s="394"/>
      <c r="CB103" s="394"/>
      <c r="CC103" s="394"/>
      <c r="CD103" s="394"/>
      <c r="CE103" s="394"/>
      <c r="CF103" s="394"/>
      <c r="CG103" s="394"/>
      <c r="CH103" s="394"/>
      <c r="CI103" s="394"/>
      <c r="CJ103" s="394"/>
      <c r="CK103" s="394"/>
      <c r="CL103" s="394"/>
      <c r="CM103" s="394"/>
      <c r="CN103" s="394"/>
      <c r="CO103" s="394"/>
      <c r="CP103" s="394"/>
      <c r="CQ103" s="394"/>
      <c r="CR103" s="394"/>
      <c r="CS103" s="394"/>
      <c r="CT103" s="395"/>
      <c r="CU103" s="394"/>
      <c r="CV103" s="394"/>
      <c r="CW103" s="394"/>
      <c r="CX103" s="395"/>
      <c r="CY103" s="395"/>
      <c r="CZ103" s="394"/>
      <c r="DA103" s="394"/>
      <c r="DB103" s="394"/>
      <c r="DC103" s="394"/>
      <c r="DD103" s="394"/>
      <c r="DE103" s="395"/>
      <c r="DF103" s="394"/>
      <c r="DG103" s="394"/>
      <c r="DH103" s="394"/>
      <c r="DI103" s="394"/>
      <c r="DJ103" s="394"/>
      <c r="DK103" s="395"/>
      <c r="DL103" s="395"/>
      <c r="DM103" s="395"/>
      <c r="DN103" s="395"/>
      <c r="DO103" s="395"/>
      <c r="DP103" s="394"/>
      <c r="DQ103" s="394"/>
      <c r="DR103" s="395"/>
      <c r="DS103" s="395"/>
      <c r="DT103" s="394"/>
      <c r="DU103" s="394"/>
      <c r="DV103" s="394"/>
      <c r="DW103" s="394"/>
      <c r="DX103" s="394"/>
      <c r="DY103" s="395"/>
      <c r="DZ103" s="394"/>
      <c r="EA103" s="394"/>
      <c r="EB103" s="394"/>
      <c r="EC103" s="394"/>
      <c r="ED103" s="396"/>
      <c r="EE103" s="354"/>
      <c r="EF103" s="354"/>
      <c r="EG103" s="354"/>
      <c r="EH103" s="354"/>
      <c r="EI103" s="354"/>
      <c r="EJ103" s="354"/>
      <c r="EK103" s="354"/>
      <c r="EL103" s="354"/>
      <c r="EM103" s="360"/>
      <c r="EN103" s="364"/>
      <c r="EO103" s="364"/>
      <c r="EP103" s="360"/>
      <c r="EQ103" s="362"/>
      <c r="ER103" s="362"/>
      <c r="ES103" s="362"/>
      <c r="ET103" s="362"/>
      <c r="EU103" s="362"/>
      <c r="EV103" s="362"/>
      <c r="EW103" s="362"/>
      <c r="EX103" s="362"/>
      <c r="EY103" s="361"/>
      <c r="EZ103" s="362"/>
      <c r="FA103" s="362"/>
      <c r="FB103" s="362"/>
      <c r="FC103" s="359"/>
      <c r="FD103" s="354"/>
      <c r="FE103" s="357"/>
      <c r="FF103" s="358"/>
      <c r="FG103" s="359"/>
      <c r="FH103" s="359"/>
      <c r="FI103" s="358"/>
      <c r="FJ103" s="354"/>
      <c r="FK103" s="354"/>
      <c r="FL103" s="357"/>
      <c r="FM103" s="357"/>
      <c r="FN103" s="354"/>
      <c r="FO103" s="354"/>
      <c r="FP103" s="354"/>
      <c r="FQ103" s="357"/>
      <c r="FR103" s="359"/>
      <c r="FS103" s="359"/>
      <c r="FT103" s="357"/>
      <c r="FU103" s="357"/>
      <c r="FV103" s="359"/>
      <c r="FW103" s="359"/>
      <c r="FX103" s="362"/>
      <c r="FY103" s="362"/>
      <c r="FZ103" s="362"/>
      <c r="GA103" s="362"/>
      <c r="GB103" s="362"/>
      <c r="GC103" s="361"/>
      <c r="GD103" s="362"/>
      <c r="GE103" s="362"/>
      <c r="GF103" s="362"/>
      <c r="GG103" s="362"/>
      <c r="GH103" s="362"/>
      <c r="GI103" s="362"/>
      <c r="GJ103" s="362"/>
      <c r="GK103" s="358"/>
      <c r="GL103" s="362"/>
      <c r="GM103" s="362"/>
      <c r="GN103" s="362"/>
      <c r="GO103" s="362"/>
      <c r="GP103" s="358"/>
      <c r="GQ103" s="358"/>
      <c r="GR103" s="361"/>
    </row>
    <row r="104" spans="1:200" ht="13.5" customHeight="1" x14ac:dyDescent="0.2">
      <c r="A104" s="364"/>
      <c r="B104" s="355"/>
      <c r="C104" s="356"/>
      <c r="D104" s="361"/>
      <c r="E104" s="361"/>
      <c r="F104" s="361"/>
      <c r="G104" s="362"/>
      <c r="H104" s="355"/>
      <c r="I104" s="362"/>
      <c r="J104" s="355"/>
      <c r="K104" s="355"/>
      <c r="L104" s="364"/>
      <c r="M104" s="360"/>
      <c r="N104" s="360"/>
      <c r="O104" s="364"/>
      <c r="P104" s="364"/>
      <c r="Q104" s="364"/>
      <c r="R104" s="360"/>
      <c r="S104" s="360"/>
      <c r="T104" s="364"/>
      <c r="U104" s="360"/>
      <c r="V104" s="364"/>
      <c r="W104" s="364"/>
      <c r="X104" s="360"/>
      <c r="Y104" s="361"/>
      <c r="Z104" s="355"/>
      <c r="AA104" s="355"/>
      <c r="AB104" s="355"/>
      <c r="AC104" s="354"/>
      <c r="AD104" s="354"/>
      <c r="AE104" s="354"/>
      <c r="AF104" s="354"/>
      <c r="AG104" s="357"/>
      <c r="AH104" s="354"/>
      <c r="AI104" s="357"/>
      <c r="AJ104" s="354"/>
      <c r="AK104" s="380"/>
      <c r="AL104" s="380"/>
      <c r="AM104" s="354"/>
      <c r="AN104" s="354"/>
      <c r="AO104" s="354"/>
      <c r="AP104" s="380"/>
      <c r="AQ104" s="354"/>
      <c r="AR104" s="357"/>
      <c r="AS104" s="354"/>
      <c r="AT104" s="354"/>
      <c r="AU104" s="380"/>
      <c r="AV104" s="380"/>
      <c r="AW104" s="380"/>
      <c r="AX104" s="357"/>
      <c r="AY104" s="357"/>
      <c r="AZ104" s="357"/>
      <c r="BA104" s="357"/>
      <c r="BB104" s="362"/>
      <c r="BC104" s="364"/>
      <c r="BD104" s="362"/>
      <c r="BE104" s="354"/>
      <c r="BF104" s="380"/>
      <c r="BG104" s="381"/>
      <c r="BH104" s="356"/>
      <c r="BI104" s="361"/>
      <c r="BJ104" s="361"/>
      <c r="BK104" s="361"/>
      <c r="BL104" s="361"/>
      <c r="BM104" s="360"/>
      <c r="BN104" s="356"/>
      <c r="BO104" s="356"/>
      <c r="BP104" s="360"/>
      <c r="BQ104" s="360"/>
      <c r="BR104" s="354"/>
      <c r="BS104" s="393"/>
      <c r="BT104" s="393"/>
      <c r="BU104" s="393"/>
      <c r="BV104" s="393"/>
      <c r="BW104" s="394"/>
      <c r="BX104" s="394"/>
      <c r="BY104" s="394"/>
      <c r="BZ104" s="394"/>
      <c r="CA104" s="394"/>
      <c r="CB104" s="394"/>
      <c r="CC104" s="394"/>
      <c r="CD104" s="394"/>
      <c r="CE104" s="394"/>
      <c r="CF104" s="394"/>
      <c r="CG104" s="394"/>
      <c r="CH104" s="394"/>
      <c r="CI104" s="394"/>
      <c r="CJ104" s="394"/>
      <c r="CK104" s="394"/>
      <c r="CL104" s="394"/>
      <c r="CM104" s="394"/>
      <c r="CN104" s="394"/>
      <c r="CO104" s="394"/>
      <c r="CP104" s="394"/>
      <c r="CQ104" s="394"/>
      <c r="CR104" s="394"/>
      <c r="CS104" s="394"/>
      <c r="CT104" s="394"/>
      <c r="CU104" s="394"/>
      <c r="CV104" s="394"/>
      <c r="CW104" s="394"/>
      <c r="CX104" s="394"/>
      <c r="CY104" s="394"/>
      <c r="CZ104" s="394"/>
      <c r="DA104" s="394"/>
      <c r="DB104" s="394"/>
      <c r="DC104" s="394"/>
      <c r="DD104" s="394"/>
      <c r="DE104" s="394"/>
      <c r="DF104" s="394"/>
      <c r="DG104" s="394"/>
      <c r="DH104" s="394"/>
      <c r="DI104" s="394"/>
      <c r="DJ104" s="394"/>
      <c r="DK104" s="394"/>
      <c r="DL104" s="394"/>
      <c r="DM104" s="395"/>
      <c r="DN104" s="394"/>
      <c r="DO104" s="394"/>
      <c r="DP104" s="394"/>
      <c r="DQ104" s="394"/>
      <c r="DR104" s="394"/>
      <c r="DS104" s="394"/>
      <c r="DT104" s="394"/>
      <c r="DU104" s="394"/>
      <c r="DV104" s="394"/>
      <c r="DW104" s="394"/>
      <c r="DX104" s="394"/>
      <c r="DY104" s="394"/>
      <c r="DZ104" s="394"/>
      <c r="EA104" s="394"/>
      <c r="EB104" s="394"/>
      <c r="EC104" s="394"/>
      <c r="ED104" s="394"/>
      <c r="EE104" s="354"/>
      <c r="EF104" s="354"/>
      <c r="EG104" s="354"/>
      <c r="EH104" s="354"/>
      <c r="EI104" s="354"/>
      <c r="EJ104" s="354"/>
      <c r="EK104" s="354"/>
      <c r="EL104" s="354"/>
      <c r="EM104" s="357"/>
      <c r="EN104" s="357"/>
      <c r="EO104" s="358"/>
      <c r="EP104" s="362"/>
      <c r="EQ104" s="362"/>
      <c r="ER104" s="361"/>
      <c r="ES104" s="361"/>
      <c r="ET104" s="362"/>
      <c r="EU104" s="362"/>
      <c r="EV104" s="361"/>
      <c r="EW104" s="362"/>
      <c r="EX104" s="362"/>
      <c r="EY104" s="362"/>
      <c r="EZ104" s="362"/>
      <c r="FA104" s="362"/>
      <c r="FB104" s="357"/>
      <c r="FC104" s="354"/>
      <c r="FD104" s="354"/>
      <c r="FE104" s="359"/>
      <c r="FF104" s="359"/>
      <c r="FG104" s="359"/>
      <c r="FH104" s="358"/>
      <c r="FI104" s="359"/>
      <c r="FJ104" s="354"/>
      <c r="FK104" s="354"/>
      <c r="FL104" s="357"/>
      <c r="FM104" s="357"/>
      <c r="FN104" s="354"/>
      <c r="FO104" s="354"/>
      <c r="FP104" s="357"/>
      <c r="FQ104" s="359"/>
      <c r="FR104" s="359"/>
      <c r="FS104" s="357"/>
      <c r="FT104" s="357"/>
      <c r="FU104" s="358"/>
      <c r="FV104" s="358"/>
      <c r="FW104" s="362"/>
      <c r="FX104" s="362"/>
      <c r="FY104" s="362"/>
      <c r="FZ104" s="362"/>
      <c r="GA104" s="361"/>
      <c r="GB104" s="361"/>
      <c r="GC104" s="362"/>
      <c r="GD104" s="362"/>
      <c r="GE104" s="362"/>
      <c r="GF104" s="362"/>
      <c r="GG104" s="362"/>
      <c r="GH104" s="362"/>
      <c r="GI104" s="358"/>
      <c r="GJ104" s="362"/>
      <c r="GK104" s="362"/>
      <c r="GL104" s="362"/>
      <c r="GM104" s="362"/>
      <c r="GN104" s="361"/>
      <c r="GO104" s="359"/>
      <c r="GP104" s="359"/>
      <c r="GQ104" s="361"/>
      <c r="GR104" s="361"/>
    </row>
    <row r="105" spans="1:200" ht="13.5" customHeight="1" x14ac:dyDescent="0.2">
      <c r="A105" s="361"/>
      <c r="B105" s="361"/>
      <c r="C105" s="355"/>
      <c r="D105" s="355"/>
      <c r="E105" s="355"/>
      <c r="F105" s="361"/>
      <c r="G105" s="361"/>
      <c r="H105" s="355"/>
      <c r="I105" s="361"/>
      <c r="J105" s="355"/>
      <c r="K105" s="355"/>
      <c r="L105" s="355"/>
      <c r="M105" s="360"/>
      <c r="N105" s="360"/>
      <c r="O105" s="360"/>
      <c r="P105" s="364"/>
      <c r="Q105" s="364"/>
      <c r="R105" s="364"/>
      <c r="S105" s="364"/>
      <c r="T105" s="360"/>
      <c r="U105" s="360"/>
      <c r="V105" s="360"/>
      <c r="W105" s="360"/>
      <c r="X105" s="364"/>
      <c r="Y105" s="364"/>
      <c r="Z105" s="355"/>
      <c r="AA105" s="355"/>
      <c r="AB105" s="355"/>
      <c r="AC105" s="357"/>
      <c r="AD105" s="357"/>
      <c r="AE105" s="354"/>
      <c r="AF105" s="357"/>
      <c r="AG105" s="354"/>
      <c r="AH105" s="354"/>
      <c r="AI105" s="354"/>
      <c r="AJ105" s="354"/>
      <c r="AK105" s="380"/>
      <c r="AL105" s="354"/>
      <c r="AM105" s="354"/>
      <c r="AN105" s="354"/>
      <c r="AO105" s="354"/>
      <c r="AP105" s="380"/>
      <c r="AQ105" s="354"/>
      <c r="AR105" s="354"/>
      <c r="AS105" s="354"/>
      <c r="AT105" s="380"/>
      <c r="AU105" s="380"/>
      <c r="AV105" s="380"/>
      <c r="AW105" s="369"/>
      <c r="AX105" s="357"/>
      <c r="AY105" s="357"/>
      <c r="AZ105" s="357"/>
      <c r="BA105" s="357"/>
      <c r="BB105" s="362"/>
      <c r="BC105" s="362"/>
      <c r="BD105" s="362"/>
      <c r="BE105" s="354"/>
      <c r="BF105" s="380"/>
      <c r="BG105" s="381"/>
      <c r="BH105" s="354"/>
      <c r="BI105" s="360"/>
      <c r="BJ105" s="361"/>
      <c r="BK105" s="361"/>
      <c r="BL105" s="361"/>
      <c r="BM105" s="361"/>
      <c r="BN105" s="361"/>
      <c r="BO105" s="361"/>
      <c r="BP105" s="360"/>
      <c r="BQ105" s="356"/>
      <c r="BR105" s="354"/>
      <c r="BS105" s="393"/>
      <c r="BT105" s="393"/>
      <c r="BU105" s="393"/>
      <c r="BV105" s="393"/>
      <c r="BW105" s="394"/>
      <c r="BX105" s="394"/>
      <c r="BY105" s="394"/>
      <c r="BZ105" s="394"/>
      <c r="CA105" s="394"/>
      <c r="CB105" s="394"/>
      <c r="CC105" s="394"/>
      <c r="CD105" s="394"/>
      <c r="CE105" s="394"/>
      <c r="CF105" s="394"/>
      <c r="CG105" s="394"/>
      <c r="CH105" s="394"/>
      <c r="CI105" s="394"/>
      <c r="CJ105" s="394"/>
      <c r="CK105" s="394"/>
      <c r="CL105" s="394"/>
      <c r="CM105" s="394"/>
      <c r="CN105" s="394"/>
      <c r="CO105" s="394"/>
      <c r="CP105" s="394"/>
      <c r="CQ105" s="394"/>
      <c r="CR105" s="394"/>
      <c r="CS105" s="394"/>
      <c r="CT105" s="394"/>
      <c r="CU105" s="394"/>
      <c r="CV105" s="394"/>
      <c r="CW105" s="394"/>
      <c r="CX105" s="394"/>
      <c r="CY105" s="394"/>
      <c r="CZ105" s="394"/>
      <c r="DA105" s="394"/>
      <c r="DB105" s="394"/>
      <c r="DC105" s="394"/>
      <c r="DD105" s="394"/>
      <c r="DE105" s="394"/>
      <c r="DF105" s="394"/>
      <c r="DG105" s="394"/>
      <c r="DH105" s="394"/>
      <c r="DI105" s="394"/>
      <c r="DJ105" s="394"/>
      <c r="DK105" s="394"/>
      <c r="DL105" s="394"/>
      <c r="DM105" s="394"/>
      <c r="DN105" s="394"/>
      <c r="DO105" s="394"/>
      <c r="DP105" s="394"/>
      <c r="DQ105" s="394"/>
      <c r="DR105" s="394"/>
      <c r="DS105" s="394"/>
      <c r="DT105" s="394"/>
      <c r="DU105" s="394"/>
      <c r="DV105" s="394"/>
      <c r="DW105" s="394"/>
      <c r="DX105" s="394"/>
      <c r="DY105" s="394"/>
      <c r="DZ105" s="394"/>
      <c r="EA105" s="394"/>
      <c r="EB105" s="394"/>
      <c r="EC105" s="394"/>
      <c r="ED105" s="394"/>
      <c r="EE105" s="354"/>
      <c r="EF105" s="354"/>
      <c r="EG105" s="354"/>
      <c r="EH105" s="359"/>
      <c r="EI105" s="358"/>
      <c r="EJ105" s="358"/>
      <c r="EK105" s="359"/>
      <c r="EL105" s="359"/>
      <c r="EM105" s="359"/>
      <c r="EN105" s="359"/>
      <c r="EO105" s="357"/>
      <c r="EP105" s="357"/>
      <c r="EQ105" s="361"/>
      <c r="ER105" s="361"/>
      <c r="ES105" s="362"/>
      <c r="ET105" s="361"/>
      <c r="EU105" s="361"/>
      <c r="EV105" s="361"/>
      <c r="EW105" s="362"/>
      <c r="EX105" s="362"/>
      <c r="EY105" s="362"/>
      <c r="EZ105" s="358"/>
      <c r="FA105" s="357"/>
      <c r="FB105" s="357"/>
      <c r="FC105" s="354"/>
      <c r="FD105" s="354"/>
      <c r="FE105" s="357"/>
      <c r="FF105" s="357"/>
      <c r="FG105" s="358"/>
      <c r="FH105" s="359"/>
      <c r="FI105" s="354"/>
      <c r="FJ105" s="354"/>
      <c r="FK105" s="354"/>
      <c r="FL105" s="357"/>
      <c r="FM105" s="354"/>
      <c r="FN105" s="354"/>
      <c r="FO105" s="357"/>
      <c r="FP105" s="357"/>
      <c r="FQ105" s="390"/>
      <c r="FR105" s="354"/>
      <c r="FS105" s="357"/>
      <c r="FT105" s="358"/>
      <c r="FU105" s="358"/>
      <c r="FV105" s="362"/>
      <c r="FW105" s="362"/>
      <c r="FX105" s="362"/>
      <c r="FY105" s="362"/>
      <c r="FZ105" s="361"/>
      <c r="GA105" s="362"/>
      <c r="GB105" s="362"/>
      <c r="GC105" s="362"/>
      <c r="GD105" s="362"/>
      <c r="GE105" s="362"/>
      <c r="GF105" s="362"/>
      <c r="GG105" s="362"/>
      <c r="GH105" s="362"/>
      <c r="GI105" s="362"/>
      <c r="GJ105" s="362"/>
      <c r="GK105" s="362"/>
      <c r="GL105" s="362"/>
      <c r="GM105" s="361"/>
      <c r="GN105" s="359"/>
      <c r="GO105" s="359"/>
      <c r="GP105" s="361"/>
      <c r="GQ105" s="362"/>
      <c r="GR105" s="362"/>
    </row>
    <row r="106" spans="1:200" ht="13.5" customHeight="1" x14ac:dyDescent="0.2">
      <c r="A106" s="355"/>
      <c r="B106" s="361"/>
      <c r="C106" s="361"/>
      <c r="D106" s="361"/>
      <c r="E106" s="362"/>
      <c r="F106" s="362"/>
      <c r="G106" s="362"/>
      <c r="H106" s="355"/>
      <c r="I106" s="355"/>
      <c r="J106" s="361"/>
      <c r="K106" s="387"/>
      <c r="L106" s="362"/>
      <c r="M106" s="362"/>
      <c r="N106" s="360"/>
      <c r="O106" s="355"/>
      <c r="P106" s="387"/>
      <c r="Q106" s="364"/>
      <c r="R106" s="360"/>
      <c r="S106" s="364"/>
      <c r="T106" s="364"/>
      <c r="U106" s="360"/>
      <c r="V106" s="360"/>
      <c r="W106" s="360"/>
      <c r="X106" s="360"/>
      <c r="Y106" s="360"/>
      <c r="Z106" s="356"/>
      <c r="AA106" s="355"/>
      <c r="AB106" s="380"/>
      <c r="AC106" s="354"/>
      <c r="AD106" s="357"/>
      <c r="AE106" s="354"/>
      <c r="AF106" s="357"/>
      <c r="AG106" s="357"/>
      <c r="AH106" s="354"/>
      <c r="AI106" s="357"/>
      <c r="AJ106" s="357"/>
      <c r="AK106" s="354"/>
      <c r="AL106" s="354"/>
      <c r="AM106" s="354"/>
      <c r="AN106" s="354"/>
      <c r="AO106" s="357"/>
      <c r="AP106" s="380"/>
      <c r="AQ106" s="354"/>
      <c r="AR106" s="354"/>
      <c r="AS106" s="354"/>
      <c r="AT106" s="380"/>
      <c r="AU106" s="354"/>
      <c r="AV106" s="380"/>
      <c r="AW106" s="380"/>
      <c r="AX106" s="357"/>
      <c r="AY106" s="357"/>
      <c r="AZ106" s="357"/>
      <c r="BA106" s="357"/>
      <c r="BB106" s="387"/>
      <c r="BC106" s="362"/>
      <c r="BD106" s="357"/>
      <c r="BE106" s="354"/>
      <c r="BF106" s="354"/>
      <c r="BG106" s="381"/>
      <c r="BH106" s="354"/>
      <c r="BI106" s="360"/>
      <c r="BJ106" s="356"/>
      <c r="BK106" s="356"/>
      <c r="BL106" s="360"/>
      <c r="BM106" s="361"/>
      <c r="BN106" s="360"/>
      <c r="BO106" s="364"/>
      <c r="BP106" s="360"/>
      <c r="BQ106" s="354"/>
      <c r="BR106" s="354"/>
      <c r="BS106" s="394"/>
      <c r="BT106" s="393"/>
      <c r="BU106" s="393"/>
      <c r="BV106" s="393"/>
      <c r="BW106" s="394"/>
      <c r="BX106" s="394"/>
      <c r="BY106" s="394"/>
      <c r="BZ106" s="394"/>
      <c r="CA106" s="394"/>
      <c r="CB106" s="394"/>
      <c r="CC106" s="394"/>
      <c r="CD106" s="394"/>
      <c r="CE106" s="394"/>
      <c r="CF106" s="394"/>
      <c r="CG106" s="394"/>
      <c r="CH106" s="394"/>
      <c r="CI106" s="394"/>
      <c r="CJ106" s="394"/>
      <c r="CK106" s="394"/>
      <c r="CL106" s="394"/>
      <c r="CM106" s="394"/>
      <c r="CN106" s="394"/>
      <c r="CO106" s="394"/>
      <c r="CP106" s="394"/>
      <c r="CQ106" s="394"/>
      <c r="CR106" s="394"/>
      <c r="CS106" s="394"/>
      <c r="CT106" s="394"/>
      <c r="CU106" s="394"/>
      <c r="CV106" s="394"/>
      <c r="CW106" s="394"/>
      <c r="CX106" s="394"/>
      <c r="CY106" s="394"/>
      <c r="CZ106" s="394"/>
      <c r="DA106" s="394"/>
      <c r="DB106" s="394"/>
      <c r="DC106" s="394"/>
      <c r="DD106" s="394"/>
      <c r="DE106" s="394"/>
      <c r="DF106" s="394"/>
      <c r="DG106" s="394"/>
      <c r="DH106" s="394"/>
      <c r="DI106" s="394"/>
      <c r="DJ106" s="394"/>
      <c r="DK106" s="394"/>
      <c r="DL106" s="394"/>
      <c r="DM106" s="394"/>
      <c r="DN106" s="394"/>
      <c r="DO106" s="394"/>
      <c r="DP106" s="394"/>
      <c r="DQ106" s="394"/>
      <c r="DR106" s="394"/>
      <c r="DS106" s="394"/>
      <c r="DT106" s="394"/>
      <c r="DU106" s="394"/>
      <c r="DV106" s="394"/>
      <c r="DW106" s="394"/>
      <c r="DX106" s="394"/>
      <c r="DY106" s="394"/>
      <c r="DZ106" s="394"/>
      <c r="EA106" s="394"/>
      <c r="EB106" s="394"/>
      <c r="EC106" s="394"/>
      <c r="ED106" s="394"/>
      <c r="EE106" s="354"/>
      <c r="EF106" s="357"/>
      <c r="EG106" s="359"/>
      <c r="EH106" s="359"/>
      <c r="EI106" s="359"/>
      <c r="EJ106" s="359"/>
      <c r="EK106" s="359"/>
      <c r="EL106" s="359"/>
      <c r="EM106" s="359"/>
      <c r="EN106" s="359"/>
      <c r="EO106" s="359"/>
      <c r="EP106" s="357"/>
      <c r="EQ106" s="357"/>
      <c r="ER106" s="357"/>
      <c r="ES106" s="362"/>
      <c r="ET106" s="362"/>
      <c r="EU106" s="362"/>
      <c r="EV106" s="362"/>
      <c r="EW106" s="362"/>
      <c r="EX106" s="362"/>
      <c r="EY106" s="359"/>
      <c r="EZ106" s="357"/>
      <c r="FA106" s="357"/>
      <c r="FB106" s="354"/>
      <c r="FC106" s="354"/>
      <c r="FD106" s="354"/>
      <c r="FE106" s="357"/>
      <c r="FF106" s="357"/>
      <c r="FG106" s="358"/>
      <c r="FH106" s="354"/>
      <c r="FI106" s="354"/>
      <c r="FJ106" s="354"/>
      <c r="FK106" s="354"/>
      <c r="FL106" s="354"/>
      <c r="FM106" s="354"/>
      <c r="FN106" s="354"/>
      <c r="FO106" s="354"/>
      <c r="FP106" s="354"/>
      <c r="FQ106" s="354"/>
      <c r="FR106" s="357"/>
      <c r="FS106" s="358"/>
      <c r="FT106" s="358"/>
      <c r="FU106" s="362"/>
      <c r="FV106" s="362"/>
      <c r="FW106" s="362"/>
      <c r="FX106" s="362"/>
      <c r="FY106" s="362"/>
      <c r="FZ106" s="362"/>
      <c r="GA106" s="362"/>
      <c r="GB106" s="362"/>
      <c r="GC106" s="361"/>
      <c r="GD106" s="362"/>
      <c r="GE106" s="362"/>
      <c r="GF106" s="358"/>
      <c r="GG106" s="362"/>
      <c r="GH106" s="362"/>
      <c r="GI106" s="362"/>
      <c r="GJ106" s="362"/>
      <c r="GK106" s="362"/>
      <c r="GL106" s="362"/>
      <c r="GM106" s="362"/>
      <c r="GN106" s="359"/>
      <c r="GO106" s="361"/>
      <c r="GP106" s="362"/>
      <c r="GQ106" s="358"/>
      <c r="GR106" s="355"/>
    </row>
    <row r="107" spans="1:200" ht="13.5" customHeight="1" x14ac:dyDescent="0.2">
      <c r="A107" s="355"/>
      <c r="B107" s="356"/>
      <c r="C107" s="355"/>
      <c r="D107" s="355"/>
      <c r="E107" s="361"/>
      <c r="F107" s="361"/>
      <c r="G107" s="361"/>
      <c r="H107" s="361"/>
      <c r="I107" s="355"/>
      <c r="J107" s="355"/>
      <c r="K107" s="361"/>
      <c r="L107" s="362"/>
      <c r="M107" s="362"/>
      <c r="N107" s="362"/>
      <c r="O107" s="360"/>
      <c r="P107" s="360"/>
      <c r="Q107" s="355"/>
      <c r="R107" s="364"/>
      <c r="S107" s="360"/>
      <c r="T107" s="364"/>
      <c r="U107" s="364"/>
      <c r="V107" s="360"/>
      <c r="W107" s="361"/>
      <c r="X107" s="361"/>
      <c r="Y107" s="361"/>
      <c r="Z107" s="361"/>
      <c r="AA107" s="361"/>
      <c r="AB107" s="390"/>
      <c r="AC107" s="354"/>
      <c r="AD107" s="354"/>
      <c r="AE107" s="354"/>
      <c r="AF107" s="354"/>
      <c r="AG107" s="357"/>
      <c r="AH107" s="354"/>
      <c r="AI107" s="354"/>
      <c r="AJ107" s="357"/>
      <c r="AK107" s="354"/>
      <c r="AL107" s="354"/>
      <c r="AM107" s="357"/>
      <c r="AN107" s="354"/>
      <c r="AO107" s="380"/>
      <c r="AP107" s="380"/>
      <c r="AQ107" s="354"/>
      <c r="AR107" s="354"/>
      <c r="AS107" s="380"/>
      <c r="AT107" s="380"/>
      <c r="AU107" s="354"/>
      <c r="AV107" s="380"/>
      <c r="AW107" s="380"/>
      <c r="AX107" s="354"/>
      <c r="AY107" s="357"/>
      <c r="AZ107" s="357"/>
      <c r="BA107" s="357"/>
      <c r="BB107" s="387"/>
      <c r="BC107" s="362"/>
      <c r="BD107" s="354"/>
      <c r="BE107" s="354"/>
      <c r="BF107" s="354"/>
      <c r="BG107" s="381"/>
      <c r="BH107" s="354"/>
      <c r="BI107" s="354"/>
      <c r="BJ107" s="364"/>
      <c r="BK107" s="356"/>
      <c r="BL107" s="361"/>
      <c r="BM107" s="361"/>
      <c r="BN107" s="361"/>
      <c r="BO107" s="361"/>
      <c r="BP107" s="361"/>
      <c r="BQ107" s="354"/>
      <c r="BR107" s="393"/>
      <c r="BS107" s="393"/>
      <c r="BT107" s="393"/>
      <c r="BU107" s="393"/>
      <c r="BV107" s="393"/>
      <c r="BW107" s="394"/>
      <c r="BX107" s="394"/>
      <c r="BY107" s="394"/>
      <c r="BZ107" s="394"/>
      <c r="CA107" s="394"/>
      <c r="CB107" s="394"/>
      <c r="CC107" s="394"/>
      <c r="CD107" s="394"/>
      <c r="CE107" s="394"/>
      <c r="CF107" s="394"/>
      <c r="CG107" s="394"/>
      <c r="CH107" s="394"/>
      <c r="CI107" s="394"/>
      <c r="CJ107" s="394"/>
      <c r="CK107" s="394"/>
      <c r="CL107" s="394"/>
      <c r="CM107" s="394"/>
      <c r="CN107" s="394"/>
      <c r="CO107" s="394"/>
      <c r="CP107" s="394"/>
      <c r="CQ107" s="394"/>
      <c r="CR107" s="394"/>
      <c r="CS107" s="394"/>
      <c r="CT107" s="394"/>
      <c r="CU107" s="394"/>
      <c r="CV107" s="394"/>
      <c r="CW107" s="394"/>
      <c r="CX107" s="394"/>
      <c r="CY107" s="394"/>
      <c r="CZ107" s="394"/>
      <c r="DA107" s="394"/>
      <c r="DB107" s="394"/>
      <c r="DC107" s="394"/>
      <c r="DD107" s="394"/>
      <c r="DE107" s="394"/>
      <c r="DF107" s="394"/>
      <c r="DG107" s="394"/>
      <c r="DH107" s="394"/>
      <c r="DI107" s="394"/>
      <c r="DJ107" s="354"/>
      <c r="DK107" s="354"/>
      <c r="DL107" s="354"/>
      <c r="DM107" s="394"/>
      <c r="DN107" s="394"/>
      <c r="DO107" s="394"/>
      <c r="DP107" s="394"/>
      <c r="DQ107" s="394"/>
      <c r="DR107" s="394"/>
      <c r="DS107" s="394"/>
      <c r="DT107" s="394"/>
      <c r="DU107" s="394"/>
      <c r="DV107" s="396"/>
      <c r="DW107" s="354"/>
      <c r="DX107" s="354"/>
      <c r="DY107" s="354"/>
      <c r="DZ107" s="354"/>
      <c r="EA107" s="354"/>
      <c r="EB107" s="394"/>
      <c r="EC107" s="394"/>
      <c r="ED107" s="394"/>
      <c r="EE107" s="354"/>
      <c r="EF107" s="354"/>
      <c r="EG107" s="359"/>
      <c r="EH107" s="359"/>
      <c r="EI107" s="359"/>
      <c r="EJ107" s="359"/>
      <c r="EK107" s="359"/>
      <c r="EL107" s="359"/>
      <c r="EM107" s="357"/>
      <c r="EN107" s="359"/>
      <c r="EO107" s="359"/>
      <c r="EP107" s="359"/>
      <c r="EQ107" s="357"/>
      <c r="ER107" s="357"/>
      <c r="ES107" s="357"/>
      <c r="ET107" s="362"/>
      <c r="EU107" s="362"/>
      <c r="EV107" s="362"/>
      <c r="EW107" s="362"/>
      <c r="EX107" s="359"/>
      <c r="EY107" s="359"/>
      <c r="EZ107" s="357"/>
      <c r="FA107" s="357"/>
      <c r="FB107" s="354"/>
      <c r="FC107" s="354"/>
      <c r="FD107" s="357"/>
      <c r="FE107" s="357"/>
      <c r="FF107" s="359"/>
      <c r="FG107" s="354"/>
      <c r="FH107" s="354"/>
      <c r="FI107" s="359"/>
      <c r="FJ107" s="362"/>
      <c r="FK107" s="362"/>
      <c r="FL107" s="362"/>
      <c r="FM107" s="362"/>
      <c r="FN107" s="359"/>
      <c r="FO107" s="354"/>
      <c r="FP107" s="359"/>
      <c r="FQ107" s="362"/>
      <c r="FR107" s="359"/>
      <c r="FS107" s="362"/>
      <c r="FT107" s="362"/>
      <c r="FU107" s="362"/>
      <c r="FV107" s="362"/>
      <c r="FW107" s="362"/>
      <c r="FX107" s="362"/>
      <c r="FY107" s="362"/>
      <c r="FZ107" s="362"/>
      <c r="GA107" s="362"/>
      <c r="GB107" s="361"/>
      <c r="GC107" s="358"/>
      <c r="GD107" s="358"/>
      <c r="GE107" s="358"/>
      <c r="GF107" s="359"/>
      <c r="GG107" s="362"/>
      <c r="GH107" s="362"/>
      <c r="GI107" s="362"/>
      <c r="GJ107" s="362"/>
      <c r="GK107" s="362"/>
      <c r="GL107" s="362"/>
      <c r="GM107" s="361"/>
      <c r="GN107" s="355"/>
      <c r="GO107" s="362"/>
      <c r="GP107" s="358"/>
      <c r="GQ107" s="355"/>
      <c r="GR107" s="355"/>
    </row>
    <row r="108" spans="1:200" ht="13.5" customHeight="1" x14ac:dyDescent="0.2">
      <c r="A108" s="355"/>
      <c r="B108" s="355"/>
      <c r="C108" s="355"/>
      <c r="D108" s="355"/>
      <c r="E108" s="361"/>
      <c r="F108" s="361"/>
      <c r="G108" s="360"/>
      <c r="H108" s="356"/>
      <c r="I108" s="356"/>
      <c r="J108" s="360"/>
      <c r="K108" s="362"/>
      <c r="L108" s="361"/>
      <c r="M108" s="361"/>
      <c r="N108" s="355"/>
      <c r="O108" s="359"/>
      <c r="P108" s="364"/>
      <c r="Q108" s="360"/>
      <c r="R108" s="361"/>
      <c r="S108" s="355"/>
      <c r="T108" s="360"/>
      <c r="U108" s="360"/>
      <c r="V108" s="360"/>
      <c r="W108" s="362"/>
      <c r="X108" s="361"/>
      <c r="Y108" s="361"/>
      <c r="Z108" s="362"/>
      <c r="AA108" s="362"/>
      <c r="AB108" s="362"/>
      <c r="AC108" s="355"/>
      <c r="AD108" s="354"/>
      <c r="AE108" s="354"/>
      <c r="AF108" s="354"/>
      <c r="AG108" s="354"/>
      <c r="AH108" s="354"/>
      <c r="AI108" s="354"/>
      <c r="AJ108" s="354"/>
      <c r="AK108" s="354"/>
      <c r="AL108" s="354"/>
      <c r="AM108" s="357"/>
      <c r="AN108" s="354"/>
      <c r="AO108" s="354"/>
      <c r="AP108" s="380"/>
      <c r="AQ108" s="354"/>
      <c r="AR108" s="354"/>
      <c r="AS108" s="380"/>
      <c r="AT108" s="380"/>
      <c r="AU108" s="354"/>
      <c r="AV108" s="380"/>
      <c r="AW108" s="380"/>
      <c r="AX108" s="354"/>
      <c r="AY108" s="357"/>
      <c r="AZ108" s="354"/>
      <c r="BA108" s="354"/>
      <c r="BB108" s="387"/>
      <c r="BC108" s="362"/>
      <c r="BD108" s="354"/>
      <c r="BE108" s="354"/>
      <c r="BF108" s="354"/>
      <c r="BG108" s="380"/>
      <c r="BH108" s="354"/>
      <c r="BI108" s="354"/>
      <c r="BJ108" s="354"/>
      <c r="BK108" s="360"/>
      <c r="BL108" s="356"/>
      <c r="BM108" s="361"/>
      <c r="BN108" s="361"/>
      <c r="BO108" s="361"/>
      <c r="BP108" s="360"/>
      <c r="BQ108" s="354"/>
      <c r="BR108" s="393"/>
      <c r="BS108" s="394"/>
      <c r="BT108" s="393"/>
      <c r="BU108" s="393"/>
      <c r="BV108" s="393"/>
      <c r="BW108" s="394"/>
      <c r="BX108" s="396"/>
      <c r="BY108" s="396"/>
      <c r="BZ108" s="354"/>
      <c r="CA108" s="354"/>
      <c r="CB108" s="354"/>
      <c r="CC108" s="354"/>
      <c r="CD108" s="354"/>
      <c r="CE108" s="354"/>
      <c r="CF108" s="354"/>
      <c r="CG108" s="354"/>
      <c r="CH108" s="354"/>
      <c r="CI108" s="354"/>
      <c r="CJ108" s="354"/>
      <c r="CK108" s="354"/>
      <c r="CL108" s="354"/>
      <c r="CM108" s="354"/>
      <c r="CN108" s="354"/>
      <c r="CO108" s="354"/>
      <c r="CP108" s="354"/>
      <c r="CQ108" s="354"/>
      <c r="CR108" s="354"/>
      <c r="CS108" s="354"/>
      <c r="CT108" s="354"/>
      <c r="CU108" s="354"/>
      <c r="CV108" s="354"/>
      <c r="CW108" s="354"/>
      <c r="CX108" s="354"/>
      <c r="CY108" s="394"/>
      <c r="CZ108" s="394"/>
      <c r="DA108" s="394"/>
      <c r="DB108" s="354"/>
      <c r="DC108" s="354"/>
      <c r="DD108" s="354"/>
      <c r="DE108" s="354"/>
      <c r="DF108" s="354"/>
      <c r="DG108" s="354"/>
      <c r="DH108" s="354"/>
      <c r="DI108" s="354"/>
      <c r="DJ108" s="354"/>
      <c r="DK108" s="354"/>
      <c r="DL108" s="354"/>
      <c r="DM108" s="354"/>
      <c r="DN108" s="354"/>
      <c r="DO108" s="354"/>
      <c r="DP108" s="354"/>
      <c r="DQ108" s="354"/>
      <c r="DR108" s="354"/>
      <c r="DS108" s="354"/>
      <c r="DT108" s="354"/>
      <c r="DU108" s="354"/>
      <c r="DV108" s="354"/>
      <c r="DW108" s="354"/>
      <c r="DX108" s="354"/>
      <c r="DY108" s="354"/>
      <c r="DZ108" s="354"/>
      <c r="EA108" s="354"/>
      <c r="EB108" s="354"/>
      <c r="EC108" s="354"/>
      <c r="ED108" s="395"/>
      <c r="EE108" s="396"/>
      <c r="EF108" s="354"/>
      <c r="EG108" s="359"/>
      <c r="EH108" s="359"/>
      <c r="EI108" s="359"/>
      <c r="EJ108" s="359"/>
      <c r="EK108" s="359"/>
      <c r="EL108" s="359"/>
      <c r="EM108" s="359"/>
      <c r="EN108" s="359"/>
      <c r="EO108" s="354"/>
      <c r="EP108" s="354"/>
      <c r="EQ108" s="357"/>
      <c r="ER108" s="357"/>
      <c r="ES108" s="357"/>
      <c r="ET108" s="357"/>
      <c r="EU108" s="355"/>
      <c r="EV108" s="357"/>
      <c r="EW108" s="354"/>
      <c r="EX108" s="357"/>
      <c r="EY108" s="357"/>
      <c r="EZ108" s="357"/>
      <c r="FA108" s="354"/>
      <c r="FB108" s="354"/>
      <c r="FC108" s="357"/>
      <c r="FD108" s="367"/>
      <c r="FE108" s="354"/>
      <c r="FF108" s="354"/>
      <c r="FG108" s="359"/>
      <c r="FH108" s="362"/>
      <c r="FI108" s="362"/>
      <c r="FJ108" s="362"/>
      <c r="FK108" s="362"/>
      <c r="FL108" s="362"/>
      <c r="FM108" s="362"/>
      <c r="FN108" s="362"/>
      <c r="FO108" s="362"/>
      <c r="FP108" s="362"/>
      <c r="FQ108" s="358"/>
      <c r="FR108" s="359"/>
      <c r="FS108" s="362"/>
      <c r="FT108" s="362"/>
      <c r="FU108" s="362"/>
      <c r="FV108" s="362"/>
      <c r="FW108" s="362"/>
      <c r="FX108" s="362"/>
      <c r="FY108" s="362"/>
      <c r="FZ108" s="362"/>
      <c r="GA108" s="361"/>
      <c r="GB108" s="359"/>
      <c r="GC108" s="358"/>
      <c r="GD108" s="358"/>
      <c r="GE108" s="359"/>
      <c r="GF108" s="361"/>
      <c r="GG108" s="355"/>
      <c r="GH108" s="358"/>
      <c r="GI108" s="362"/>
      <c r="GJ108" s="362"/>
      <c r="GK108" s="362"/>
      <c r="GL108" s="362"/>
      <c r="GM108" s="355"/>
      <c r="GN108" s="358"/>
      <c r="GO108" s="362"/>
      <c r="GP108" s="362"/>
      <c r="GQ108" s="362"/>
      <c r="GR108" s="362"/>
    </row>
    <row r="109" spans="1:200" ht="13.5" customHeight="1" x14ac:dyDescent="0.2">
      <c r="A109" s="355"/>
      <c r="B109" s="355"/>
      <c r="C109" s="355"/>
      <c r="D109" s="361"/>
      <c r="E109" s="362"/>
      <c r="F109" s="362"/>
      <c r="G109" s="362"/>
      <c r="H109" s="361"/>
      <c r="I109" s="361"/>
      <c r="J109" s="361"/>
      <c r="K109" s="361"/>
      <c r="L109" s="362"/>
      <c r="M109" s="362"/>
      <c r="N109" s="361"/>
      <c r="O109" s="362"/>
      <c r="P109" s="362"/>
      <c r="Q109" s="361"/>
      <c r="R109" s="361"/>
      <c r="S109" s="361"/>
      <c r="T109" s="361"/>
      <c r="U109" s="360"/>
      <c r="V109" s="360"/>
      <c r="W109" s="361"/>
      <c r="X109" s="361"/>
      <c r="Y109" s="361"/>
      <c r="Z109" s="362"/>
      <c r="AA109" s="362"/>
      <c r="AB109" s="362"/>
      <c r="AC109" s="367"/>
      <c r="AD109" s="354"/>
      <c r="AE109" s="354"/>
      <c r="AF109" s="354"/>
      <c r="AG109" s="354"/>
      <c r="AH109" s="354"/>
      <c r="AI109" s="354"/>
      <c r="AJ109" s="354"/>
      <c r="AK109" s="354"/>
      <c r="AL109" s="354"/>
      <c r="AM109" s="357"/>
      <c r="AN109" s="354"/>
      <c r="AO109" s="354"/>
      <c r="AP109" s="380"/>
      <c r="AQ109" s="354"/>
      <c r="AR109" s="369"/>
      <c r="AS109" s="381"/>
      <c r="AT109" s="357"/>
      <c r="AU109" s="354"/>
      <c r="AV109" s="369"/>
      <c r="AW109" s="380"/>
      <c r="AX109" s="354"/>
      <c r="AY109" s="354"/>
      <c r="AZ109" s="354"/>
      <c r="BA109" s="354"/>
      <c r="BB109" s="387"/>
      <c r="BC109" s="362"/>
      <c r="BD109" s="354"/>
      <c r="BE109" s="354"/>
      <c r="BF109" s="354"/>
      <c r="BG109" s="354"/>
      <c r="BH109" s="354"/>
      <c r="BI109" s="354"/>
      <c r="BJ109" s="354"/>
      <c r="BK109" s="354"/>
      <c r="BL109" s="364"/>
      <c r="BM109" s="356"/>
      <c r="BN109" s="356"/>
      <c r="BO109" s="360"/>
      <c r="BP109" s="360"/>
      <c r="BQ109" s="354"/>
      <c r="BR109" s="393"/>
      <c r="BS109" s="394"/>
      <c r="BT109" s="354"/>
      <c r="BU109" s="354"/>
      <c r="BV109" s="354"/>
      <c r="BW109" s="354"/>
      <c r="BX109" s="354"/>
      <c r="BY109" s="354"/>
      <c r="BZ109" s="354"/>
      <c r="CA109" s="354"/>
      <c r="CB109" s="354"/>
      <c r="CC109" s="354"/>
      <c r="CD109" s="354"/>
      <c r="CE109" s="354"/>
      <c r="CF109" s="354"/>
      <c r="CG109" s="354"/>
      <c r="CH109" s="354"/>
      <c r="CI109" s="354"/>
      <c r="CJ109" s="354"/>
      <c r="CK109" s="354"/>
      <c r="CL109" s="354"/>
      <c r="CM109" s="354"/>
      <c r="CN109" s="354"/>
      <c r="CO109" s="354"/>
      <c r="CP109" s="354"/>
      <c r="CQ109" s="354"/>
      <c r="CR109" s="354"/>
      <c r="CS109" s="354"/>
      <c r="CT109" s="354"/>
      <c r="CU109" s="354"/>
      <c r="CV109" s="354"/>
      <c r="CW109" s="354"/>
      <c r="CX109" s="354"/>
      <c r="CY109" s="354"/>
      <c r="CZ109" s="354"/>
      <c r="DA109" s="354"/>
      <c r="DB109" s="354"/>
      <c r="DC109" s="354"/>
      <c r="DD109" s="354"/>
      <c r="DE109" s="354"/>
      <c r="DF109" s="354"/>
      <c r="DG109" s="354"/>
      <c r="DH109" s="354"/>
      <c r="DI109" s="354"/>
      <c r="DJ109" s="394"/>
      <c r="DK109" s="394"/>
      <c r="DL109" s="394"/>
      <c r="DM109" s="354"/>
      <c r="DN109" s="354"/>
      <c r="DO109" s="354"/>
      <c r="DP109" s="354"/>
      <c r="DQ109" s="354"/>
      <c r="DR109" s="354"/>
      <c r="DS109" s="396"/>
      <c r="DT109" s="396"/>
      <c r="DU109" s="396"/>
      <c r="DV109" s="396"/>
      <c r="DW109" s="394"/>
      <c r="DX109" s="394"/>
      <c r="DY109" s="394"/>
      <c r="DZ109" s="381"/>
      <c r="EA109" s="395"/>
      <c r="EB109" s="396"/>
      <c r="EC109" s="354"/>
      <c r="ED109" s="394"/>
      <c r="EE109" s="394"/>
      <c r="EF109" s="354"/>
      <c r="EG109" s="359"/>
      <c r="EH109" s="359"/>
      <c r="EI109" s="359"/>
      <c r="EJ109" s="359"/>
      <c r="EK109" s="359"/>
      <c r="EL109" s="359"/>
      <c r="EM109" s="354"/>
      <c r="EN109" s="354"/>
      <c r="EO109" s="357"/>
      <c r="EP109" s="354"/>
      <c r="EQ109" s="357"/>
      <c r="ER109" s="357"/>
      <c r="ES109" s="354"/>
      <c r="ET109" s="354"/>
      <c r="EU109" s="359"/>
      <c r="EV109" s="359"/>
      <c r="EW109" s="359"/>
      <c r="EX109" s="357"/>
      <c r="EY109" s="357"/>
      <c r="EZ109" s="357"/>
      <c r="FA109" s="357"/>
      <c r="FB109" s="359"/>
      <c r="FC109" s="359"/>
      <c r="FD109" s="359"/>
      <c r="FE109" s="359"/>
      <c r="FF109" s="358"/>
      <c r="FG109" s="362"/>
      <c r="FH109" s="362"/>
      <c r="FI109" s="362"/>
      <c r="FJ109" s="362"/>
      <c r="FK109" s="362"/>
      <c r="FL109" s="362"/>
      <c r="FM109" s="362"/>
      <c r="FN109" s="362"/>
      <c r="FO109" s="362"/>
      <c r="FP109" s="358"/>
      <c r="FQ109" s="362"/>
      <c r="FR109" s="362"/>
      <c r="FS109" s="362"/>
      <c r="FT109" s="362"/>
      <c r="FU109" s="362"/>
      <c r="FV109" s="362"/>
      <c r="FW109" s="362"/>
      <c r="FX109" s="361"/>
      <c r="FY109" s="362"/>
      <c r="FZ109" s="361"/>
      <c r="GA109" s="361"/>
      <c r="GB109" s="359"/>
      <c r="GC109" s="359"/>
      <c r="GD109" s="358"/>
      <c r="GE109" s="355"/>
      <c r="GF109" s="355"/>
      <c r="GG109" s="361"/>
      <c r="GH109" s="361"/>
      <c r="GI109" s="362"/>
      <c r="GJ109" s="361"/>
      <c r="GK109" s="362"/>
      <c r="GL109" s="362"/>
      <c r="GM109" s="362"/>
      <c r="GN109" s="358"/>
      <c r="GO109" s="362"/>
      <c r="GP109" s="358"/>
      <c r="GQ109" s="358"/>
      <c r="GR109" s="362"/>
    </row>
    <row r="110" spans="1:200" ht="13.5" customHeight="1" x14ac:dyDescent="0.2">
      <c r="A110" s="364"/>
      <c r="B110" s="355"/>
      <c r="C110" s="355"/>
      <c r="D110" s="355"/>
      <c r="E110" s="361"/>
      <c r="F110" s="361"/>
      <c r="G110" s="361"/>
      <c r="H110" s="362"/>
      <c r="I110" s="362"/>
      <c r="J110" s="361"/>
      <c r="K110" s="362"/>
      <c r="L110" s="361"/>
      <c r="M110" s="360"/>
      <c r="N110" s="362"/>
      <c r="O110" s="361"/>
      <c r="P110" s="362"/>
      <c r="Q110" s="387"/>
      <c r="R110" s="362"/>
      <c r="S110" s="361"/>
      <c r="T110" s="361"/>
      <c r="U110" s="362"/>
      <c r="V110" s="360"/>
      <c r="W110" s="360"/>
      <c r="X110" s="360"/>
      <c r="Y110" s="356"/>
      <c r="Z110" s="360"/>
      <c r="AA110" s="360"/>
      <c r="AB110" s="361"/>
      <c r="AC110" s="357"/>
      <c r="AD110" s="390"/>
      <c r="AE110" s="354"/>
      <c r="AF110" s="354"/>
      <c r="AG110" s="354"/>
      <c r="AH110" s="357"/>
      <c r="AI110" s="354"/>
      <c r="AJ110" s="354"/>
      <c r="AK110" s="354"/>
      <c r="AL110" s="354"/>
      <c r="AM110" s="354"/>
      <c r="AN110" s="354"/>
      <c r="AO110" s="354"/>
      <c r="AP110" s="380"/>
      <c r="AQ110" s="354"/>
      <c r="AR110" s="369"/>
      <c r="AS110" s="381"/>
      <c r="AT110" s="357"/>
      <c r="AU110" s="354"/>
      <c r="AV110" s="369"/>
      <c r="AW110" s="380"/>
      <c r="AX110" s="354"/>
      <c r="AY110" s="354"/>
      <c r="AZ110" s="354"/>
      <c r="BA110" s="354"/>
      <c r="BB110" s="355"/>
      <c r="BC110" s="362"/>
      <c r="BD110" s="354"/>
      <c r="BE110" s="354"/>
      <c r="BF110" s="354"/>
      <c r="BG110" s="354"/>
      <c r="BH110" s="380"/>
      <c r="BI110" s="354"/>
      <c r="BJ110" s="354"/>
      <c r="BK110" s="354"/>
      <c r="BL110" s="354"/>
      <c r="BM110" s="364"/>
      <c r="BN110" s="364"/>
      <c r="BO110" s="355"/>
      <c r="BP110" s="355"/>
      <c r="BQ110" s="354"/>
      <c r="BR110" s="393"/>
      <c r="BS110" s="393"/>
      <c r="BT110" s="393"/>
      <c r="BU110" s="396"/>
      <c r="BV110" s="396"/>
      <c r="BW110" s="396"/>
      <c r="BX110" s="396"/>
      <c r="BY110" s="395"/>
      <c r="BZ110" s="396"/>
      <c r="CA110" s="396"/>
      <c r="CB110" s="395"/>
      <c r="CC110" s="395"/>
      <c r="CD110" s="396"/>
      <c r="CE110" s="396"/>
      <c r="CF110" s="396"/>
      <c r="CG110" s="395"/>
      <c r="CH110" s="395"/>
      <c r="CI110" s="395"/>
      <c r="CJ110" s="395"/>
      <c r="CK110" s="395"/>
      <c r="CL110" s="395"/>
      <c r="CM110" s="395"/>
      <c r="CN110" s="395"/>
      <c r="CO110" s="395"/>
      <c r="CP110" s="395"/>
      <c r="CQ110" s="395"/>
      <c r="CR110" s="395"/>
      <c r="CS110" s="395"/>
      <c r="CT110" s="395"/>
      <c r="CU110" s="395"/>
      <c r="CV110" s="395"/>
      <c r="CW110" s="395"/>
      <c r="CX110" s="395"/>
      <c r="CY110" s="354"/>
      <c r="CZ110" s="354"/>
      <c r="DA110" s="354"/>
      <c r="DB110" s="395"/>
      <c r="DC110" s="395"/>
      <c r="DD110" s="395"/>
      <c r="DE110" s="395"/>
      <c r="DF110" s="395"/>
      <c r="DG110" s="395"/>
      <c r="DH110" s="395"/>
      <c r="DI110" s="395"/>
      <c r="DJ110" s="395"/>
      <c r="DK110" s="394"/>
      <c r="DL110" s="395"/>
      <c r="DM110" s="395"/>
      <c r="DN110" s="395"/>
      <c r="DO110" s="395"/>
      <c r="DP110" s="395"/>
      <c r="DQ110" s="395"/>
      <c r="DR110" s="395"/>
      <c r="DS110" s="395"/>
      <c r="DT110" s="395"/>
      <c r="DU110" s="395"/>
      <c r="DV110" s="394"/>
      <c r="DW110" s="394"/>
      <c r="DX110" s="394"/>
      <c r="DY110" s="394"/>
      <c r="DZ110" s="395"/>
      <c r="EA110" s="394"/>
      <c r="EB110" s="394"/>
      <c r="EC110" s="394"/>
      <c r="ED110" s="394"/>
      <c r="EE110" s="394"/>
      <c r="EF110" s="354"/>
      <c r="EG110" s="359"/>
      <c r="EH110" s="359"/>
      <c r="EI110" s="359"/>
      <c r="EJ110" s="357"/>
      <c r="EK110" s="357"/>
      <c r="EL110" s="354"/>
      <c r="EM110" s="354"/>
      <c r="EN110" s="357"/>
      <c r="EO110" s="354"/>
      <c r="EP110" s="354"/>
      <c r="EQ110" s="354"/>
      <c r="ER110" s="359"/>
      <c r="ES110" s="359"/>
      <c r="ET110" s="362"/>
      <c r="EU110" s="362"/>
      <c r="EV110" s="362"/>
      <c r="EW110" s="359"/>
      <c r="EX110" s="359"/>
      <c r="EY110" s="359"/>
      <c r="EZ110" s="359"/>
      <c r="FA110" s="358"/>
      <c r="FB110" s="358"/>
      <c r="FC110" s="359"/>
      <c r="FD110" s="359"/>
      <c r="FE110" s="362"/>
      <c r="FF110" s="362"/>
      <c r="FG110" s="362"/>
      <c r="FH110" s="362"/>
      <c r="FI110" s="362"/>
      <c r="FJ110" s="362"/>
      <c r="FK110" s="362"/>
      <c r="FL110" s="362"/>
      <c r="FM110" s="362"/>
      <c r="FN110" s="362"/>
      <c r="FO110" s="358"/>
      <c r="FP110" s="362"/>
      <c r="FQ110" s="362"/>
      <c r="FR110" s="362"/>
      <c r="FS110" s="362"/>
      <c r="FT110" s="362"/>
      <c r="FU110" s="362"/>
      <c r="FV110" s="362"/>
      <c r="FW110" s="362"/>
      <c r="FX110" s="362"/>
      <c r="FY110" s="362"/>
      <c r="FZ110" s="362"/>
      <c r="GA110" s="359"/>
      <c r="GB110" s="359"/>
      <c r="GC110" s="362"/>
      <c r="GD110" s="362"/>
      <c r="GE110" s="361"/>
      <c r="GF110" s="362"/>
      <c r="GG110" s="361"/>
      <c r="GH110" s="361"/>
      <c r="GI110" s="361"/>
      <c r="GJ110" s="358"/>
      <c r="GK110" s="362"/>
      <c r="GL110" s="362"/>
      <c r="GM110" s="362"/>
      <c r="GN110" s="358"/>
      <c r="GO110" s="362"/>
      <c r="GP110" s="362"/>
      <c r="GQ110" s="361"/>
      <c r="GR110" s="362"/>
    </row>
    <row r="111" spans="1:200" ht="13.5" customHeight="1" x14ac:dyDescent="0.2">
      <c r="A111" s="364"/>
      <c r="B111" s="362"/>
      <c r="C111" s="362"/>
      <c r="D111" s="362"/>
      <c r="E111" s="362"/>
      <c r="F111" s="362"/>
      <c r="G111" s="362"/>
      <c r="H111" s="362"/>
      <c r="I111" s="362"/>
      <c r="J111" s="362"/>
      <c r="K111" s="362"/>
      <c r="L111" s="355"/>
      <c r="M111" s="361"/>
      <c r="N111" s="360"/>
      <c r="O111" s="364"/>
      <c r="P111" s="360"/>
      <c r="Q111" s="359"/>
      <c r="R111" s="359"/>
      <c r="S111" s="362"/>
      <c r="T111" s="361"/>
      <c r="U111" s="361"/>
      <c r="V111" s="362"/>
      <c r="W111" s="362"/>
      <c r="X111" s="361"/>
      <c r="Y111" s="361"/>
      <c r="Z111" s="362"/>
      <c r="AA111" s="362"/>
      <c r="AB111" s="355"/>
      <c r="AC111" s="354"/>
      <c r="AD111" s="354"/>
      <c r="AE111" s="354"/>
      <c r="AF111" s="354"/>
      <c r="AG111" s="354"/>
      <c r="AH111" s="354"/>
      <c r="AI111" s="354"/>
      <c r="AJ111" s="354"/>
      <c r="AK111" s="354"/>
      <c r="AL111" s="354"/>
      <c r="AM111" s="357"/>
      <c r="AN111" s="354"/>
      <c r="AO111" s="354"/>
      <c r="AP111" s="380"/>
      <c r="AQ111" s="354"/>
      <c r="AR111" s="369"/>
      <c r="AS111" s="354"/>
      <c r="AT111" s="357"/>
      <c r="AU111" s="354"/>
      <c r="AV111" s="380"/>
      <c r="AW111" s="380"/>
      <c r="AX111" s="354"/>
      <c r="AY111" s="354"/>
      <c r="AZ111" s="354"/>
      <c r="BA111" s="354"/>
      <c r="BB111" s="361"/>
      <c r="BC111" s="362"/>
      <c r="BD111" s="354"/>
      <c r="BE111" s="354"/>
      <c r="BF111" s="357"/>
      <c r="BG111" s="354"/>
      <c r="BH111" s="354"/>
      <c r="BI111" s="354"/>
      <c r="BJ111" s="354"/>
      <c r="BK111" s="354"/>
      <c r="BL111" s="354"/>
      <c r="BM111" s="354"/>
      <c r="BN111" s="364"/>
      <c r="BO111" s="356"/>
      <c r="BP111" s="360"/>
      <c r="BQ111" s="354"/>
      <c r="BR111" s="394"/>
      <c r="BS111" s="393"/>
      <c r="BT111" s="393"/>
      <c r="BU111" s="393"/>
      <c r="BV111" s="393"/>
      <c r="BW111" s="394"/>
      <c r="BX111" s="394"/>
      <c r="BY111" s="394"/>
      <c r="BZ111" s="394"/>
      <c r="CA111" s="395"/>
      <c r="CB111" s="395"/>
      <c r="CC111" s="394"/>
      <c r="CD111" s="394"/>
      <c r="CE111" s="394"/>
      <c r="CF111" s="394"/>
      <c r="CG111" s="395"/>
      <c r="CH111" s="394"/>
      <c r="CI111" s="394"/>
      <c r="CJ111" s="394"/>
      <c r="CK111" s="395"/>
      <c r="CL111" s="395"/>
      <c r="CM111" s="395"/>
      <c r="CN111" s="395"/>
      <c r="CO111" s="394"/>
      <c r="CP111" s="394"/>
      <c r="CQ111" s="395"/>
      <c r="CR111" s="395"/>
      <c r="CS111" s="395"/>
      <c r="CT111" s="395"/>
      <c r="CU111" s="395"/>
      <c r="CV111" s="394"/>
      <c r="CW111" s="395"/>
      <c r="CX111" s="395"/>
      <c r="CY111" s="395"/>
      <c r="CZ111" s="395"/>
      <c r="DA111" s="395"/>
      <c r="DB111" s="394"/>
      <c r="DC111" s="395"/>
      <c r="DD111" s="395"/>
      <c r="DE111" s="394"/>
      <c r="DF111" s="394"/>
      <c r="DG111" s="395"/>
      <c r="DH111" s="395"/>
      <c r="DI111" s="394"/>
      <c r="DJ111" s="394"/>
      <c r="DK111" s="394"/>
      <c r="DL111" s="394"/>
      <c r="DM111" s="395"/>
      <c r="DN111" s="394"/>
      <c r="DO111" s="394"/>
      <c r="DP111" s="395"/>
      <c r="DQ111" s="394"/>
      <c r="DR111" s="394"/>
      <c r="DS111" s="394"/>
      <c r="DT111" s="394"/>
      <c r="DU111" s="394"/>
      <c r="DV111" s="394"/>
      <c r="DW111" s="394"/>
      <c r="DX111" s="394"/>
      <c r="DY111" s="394"/>
      <c r="DZ111" s="395"/>
      <c r="EA111" s="395"/>
      <c r="EB111" s="394"/>
      <c r="EC111" s="394"/>
      <c r="ED111" s="394"/>
      <c r="EE111" s="394"/>
      <c r="EF111" s="354"/>
      <c r="EG111" s="359"/>
      <c r="EH111" s="359"/>
      <c r="EI111" s="359"/>
      <c r="EJ111" s="359"/>
      <c r="EK111" s="357"/>
      <c r="EL111" s="357"/>
      <c r="EM111" s="354"/>
      <c r="EN111" s="357"/>
      <c r="EO111" s="354"/>
      <c r="EP111" s="354"/>
      <c r="EQ111" s="359"/>
      <c r="ER111" s="362"/>
      <c r="ES111" s="362"/>
      <c r="ET111" s="362"/>
      <c r="EU111" s="362"/>
      <c r="EV111" s="358"/>
      <c r="EW111" s="362"/>
      <c r="EX111" s="359"/>
      <c r="EY111" s="359"/>
      <c r="EZ111" s="362"/>
      <c r="FA111" s="359"/>
      <c r="FB111" s="359"/>
      <c r="FC111" s="362"/>
      <c r="FD111" s="362"/>
      <c r="FE111" s="362"/>
      <c r="FF111" s="362"/>
      <c r="FG111" s="362"/>
      <c r="FH111" s="362"/>
      <c r="FI111" s="362"/>
      <c r="FJ111" s="362"/>
      <c r="FK111" s="362"/>
      <c r="FL111" s="362"/>
      <c r="FM111" s="362"/>
      <c r="FN111" s="359"/>
      <c r="FO111" s="362"/>
      <c r="FP111" s="362"/>
      <c r="FQ111" s="362"/>
      <c r="FR111" s="362"/>
      <c r="FS111" s="362"/>
      <c r="FT111" s="362"/>
      <c r="FU111" s="362"/>
      <c r="FV111" s="362"/>
      <c r="FW111" s="362"/>
      <c r="FX111" s="362"/>
      <c r="FY111" s="361"/>
      <c r="FZ111" s="362"/>
      <c r="GA111" s="359"/>
      <c r="GB111" s="362"/>
      <c r="GC111" s="358"/>
      <c r="GD111" s="361"/>
      <c r="GE111" s="362"/>
      <c r="GF111" s="362"/>
      <c r="GG111" s="361"/>
      <c r="GH111" s="361"/>
      <c r="GI111" s="358"/>
      <c r="GJ111" s="355"/>
      <c r="GK111" s="362"/>
      <c r="GL111" s="362"/>
      <c r="GM111" s="362"/>
      <c r="GN111" s="361"/>
      <c r="GO111" s="362"/>
      <c r="GP111" s="361"/>
      <c r="GQ111" s="362"/>
      <c r="GR111" s="362"/>
    </row>
    <row r="112" spans="1:200" ht="13.5" customHeight="1" x14ac:dyDescent="0.2">
      <c r="A112" s="355"/>
      <c r="B112" s="362"/>
      <c r="C112" s="362"/>
      <c r="D112" s="362"/>
      <c r="E112" s="362"/>
      <c r="F112" s="362"/>
      <c r="G112" s="362"/>
      <c r="H112" s="362"/>
      <c r="I112" s="362"/>
      <c r="J112" s="362"/>
      <c r="K112" s="362"/>
      <c r="L112" s="361"/>
      <c r="M112" s="355"/>
      <c r="N112" s="361"/>
      <c r="O112" s="360"/>
      <c r="P112" s="364"/>
      <c r="Q112" s="360"/>
      <c r="R112" s="359"/>
      <c r="S112" s="359"/>
      <c r="T112" s="360"/>
      <c r="U112" s="361"/>
      <c r="V112" s="362"/>
      <c r="W112" s="362"/>
      <c r="X112" s="361"/>
      <c r="Y112" s="361"/>
      <c r="Z112" s="361"/>
      <c r="AA112" s="361"/>
      <c r="AB112" s="361"/>
      <c r="AC112" s="355"/>
      <c r="AD112" s="357"/>
      <c r="AE112" s="357"/>
      <c r="AF112" s="354"/>
      <c r="AG112" s="354"/>
      <c r="AH112" s="357"/>
      <c r="AI112" s="354"/>
      <c r="AJ112" s="354"/>
      <c r="AK112" s="357"/>
      <c r="AL112" s="354"/>
      <c r="AM112" s="354"/>
      <c r="AN112" s="354"/>
      <c r="AO112" s="354"/>
      <c r="AP112" s="354"/>
      <c r="AQ112" s="354"/>
      <c r="AR112" s="381"/>
      <c r="AS112" s="354"/>
      <c r="AT112" s="357"/>
      <c r="AU112" s="354"/>
      <c r="AV112" s="354"/>
      <c r="AW112" s="380"/>
      <c r="AX112" s="354"/>
      <c r="AY112" s="357"/>
      <c r="AZ112" s="354"/>
      <c r="BA112" s="354"/>
      <c r="BB112" s="361"/>
      <c r="BC112" s="362"/>
      <c r="BD112" s="354"/>
      <c r="BE112" s="354"/>
      <c r="BF112" s="357"/>
      <c r="BG112" s="354"/>
      <c r="BH112" s="354"/>
      <c r="BI112" s="380"/>
      <c r="BJ112" s="354"/>
      <c r="BK112" s="381"/>
      <c r="BL112" s="354"/>
      <c r="BM112" s="354"/>
      <c r="BN112" s="354"/>
      <c r="BO112" s="356"/>
      <c r="BP112" s="356"/>
      <c r="BQ112" s="354"/>
      <c r="BR112" s="393"/>
      <c r="BS112" s="393"/>
      <c r="BT112" s="393"/>
      <c r="BU112" s="393"/>
      <c r="BV112" s="393"/>
      <c r="BW112" s="394"/>
      <c r="BX112" s="394"/>
      <c r="BY112" s="394"/>
      <c r="BZ112" s="394"/>
      <c r="CA112" s="394"/>
      <c r="CB112" s="394"/>
      <c r="CC112" s="394"/>
      <c r="CD112" s="394"/>
      <c r="CE112" s="394"/>
      <c r="CF112" s="394"/>
      <c r="CG112" s="395"/>
      <c r="CH112" s="395"/>
      <c r="CI112" s="395"/>
      <c r="CJ112" s="394"/>
      <c r="CK112" s="394"/>
      <c r="CL112" s="395"/>
      <c r="CM112" s="395"/>
      <c r="CN112" s="395"/>
      <c r="CO112" s="394"/>
      <c r="CP112" s="394"/>
      <c r="CQ112" s="395"/>
      <c r="CR112" s="395"/>
      <c r="CS112" s="395"/>
      <c r="CT112" s="394"/>
      <c r="CU112" s="394"/>
      <c r="CV112" s="394"/>
      <c r="CW112" s="395"/>
      <c r="CX112" s="395"/>
      <c r="CY112" s="394"/>
      <c r="CZ112" s="394"/>
      <c r="DA112" s="394"/>
      <c r="DB112" s="394"/>
      <c r="DC112" s="394"/>
      <c r="DD112" s="394"/>
      <c r="DE112" s="394"/>
      <c r="DF112" s="395"/>
      <c r="DG112" s="395"/>
      <c r="DH112" s="395"/>
      <c r="DI112" s="394"/>
      <c r="DJ112" s="394"/>
      <c r="DK112" s="394"/>
      <c r="DL112" s="394"/>
      <c r="DM112" s="395"/>
      <c r="DN112" s="395"/>
      <c r="DO112" s="395"/>
      <c r="DP112" s="394"/>
      <c r="DQ112" s="394"/>
      <c r="DR112" s="394"/>
      <c r="DS112" s="394"/>
      <c r="DT112" s="395"/>
      <c r="DU112" s="395"/>
      <c r="DV112" s="395"/>
      <c r="DW112" s="394"/>
      <c r="DX112" s="394"/>
      <c r="DY112" s="394"/>
      <c r="DZ112" s="395"/>
      <c r="EA112" s="395"/>
      <c r="EB112" s="394"/>
      <c r="EC112" s="394"/>
      <c r="ED112" s="394"/>
      <c r="EE112" s="394"/>
      <c r="EF112" s="354"/>
      <c r="EG112" s="357"/>
      <c r="EH112" s="359"/>
      <c r="EI112" s="359"/>
      <c r="EJ112" s="357"/>
      <c r="EK112" s="354"/>
      <c r="EL112" s="354"/>
      <c r="EM112" s="354"/>
      <c r="EN112" s="357"/>
      <c r="EO112" s="359"/>
      <c r="EP112" s="358"/>
      <c r="EQ112" s="362"/>
      <c r="ER112" s="362"/>
      <c r="ES112" s="362"/>
      <c r="ET112" s="362"/>
      <c r="EU112" s="358"/>
      <c r="EV112" s="362"/>
      <c r="EW112" s="359"/>
      <c r="EX112" s="359"/>
      <c r="EY112" s="362"/>
      <c r="EZ112" s="362"/>
      <c r="FA112" s="362"/>
      <c r="FB112" s="362"/>
      <c r="FC112" s="362"/>
      <c r="FD112" s="362"/>
      <c r="FE112" s="362"/>
      <c r="FF112" s="362"/>
      <c r="FG112" s="362"/>
      <c r="FH112" s="362"/>
      <c r="FI112" s="362"/>
      <c r="FJ112" s="362"/>
      <c r="FK112" s="362"/>
      <c r="FL112" s="362"/>
      <c r="FM112" s="362"/>
      <c r="FN112" s="362"/>
      <c r="FO112" s="362"/>
      <c r="FP112" s="362"/>
      <c r="FQ112" s="362"/>
      <c r="FR112" s="362"/>
      <c r="FS112" s="362"/>
      <c r="FT112" s="362"/>
      <c r="FU112" s="362"/>
      <c r="FV112" s="362"/>
      <c r="FW112" s="362"/>
      <c r="FX112" s="361"/>
      <c r="FY112" s="362"/>
      <c r="FZ112" s="359"/>
      <c r="GA112" s="359"/>
      <c r="GB112" s="362"/>
      <c r="GC112" s="361"/>
      <c r="GD112" s="361"/>
      <c r="GE112" s="362"/>
      <c r="GF112" s="360"/>
      <c r="GG112" s="361"/>
      <c r="GH112" s="358"/>
      <c r="GI112" s="355"/>
      <c r="GJ112" s="362"/>
      <c r="GK112" s="362"/>
      <c r="GL112" s="362"/>
      <c r="GM112" s="361"/>
      <c r="GN112" s="361"/>
      <c r="GO112" s="362"/>
      <c r="GP112" s="362"/>
      <c r="GQ112" s="362"/>
      <c r="GR112" s="362"/>
    </row>
    <row r="113" spans="1:200" ht="13.5" customHeight="1" x14ac:dyDescent="0.2">
      <c r="A113" s="361"/>
      <c r="B113" s="362"/>
      <c r="C113" s="362"/>
      <c r="D113" s="362"/>
      <c r="E113" s="362"/>
      <c r="F113" s="362"/>
      <c r="G113" s="362"/>
      <c r="H113" s="362"/>
      <c r="I113" s="362"/>
      <c r="J113" s="362"/>
      <c r="K113" s="362"/>
      <c r="L113" s="361"/>
      <c r="M113" s="361"/>
      <c r="N113" s="362"/>
      <c r="O113" s="359"/>
      <c r="P113" s="360"/>
      <c r="Q113" s="364"/>
      <c r="R113" s="360"/>
      <c r="S113" s="361"/>
      <c r="T113" s="362"/>
      <c r="U113" s="362"/>
      <c r="V113" s="361"/>
      <c r="W113" s="361"/>
      <c r="X113" s="361"/>
      <c r="Y113" s="361"/>
      <c r="Z113" s="361"/>
      <c r="AA113" s="362"/>
      <c r="AB113" s="361"/>
      <c r="AC113" s="361"/>
      <c r="AD113" s="357"/>
      <c r="AE113" s="357"/>
      <c r="AF113" s="354"/>
      <c r="AG113" s="354"/>
      <c r="AH113" s="354"/>
      <c r="AI113" s="354"/>
      <c r="AJ113" s="354"/>
      <c r="AK113" s="354"/>
      <c r="AL113" s="354"/>
      <c r="AM113" s="354"/>
      <c r="AN113" s="354"/>
      <c r="AO113" s="354"/>
      <c r="AP113" s="354"/>
      <c r="AQ113" s="380"/>
      <c r="AR113" s="381"/>
      <c r="AS113" s="380"/>
      <c r="AT113" s="354"/>
      <c r="AU113" s="354"/>
      <c r="AV113" s="354"/>
      <c r="AW113" s="380"/>
      <c r="AX113" s="354"/>
      <c r="AY113" s="354"/>
      <c r="AZ113" s="390"/>
      <c r="BA113" s="354"/>
      <c r="BB113" s="354"/>
      <c r="BC113" s="362"/>
      <c r="BD113" s="362"/>
      <c r="BE113" s="354"/>
      <c r="BF113" s="354"/>
      <c r="BG113" s="354"/>
      <c r="BH113" s="354"/>
      <c r="BI113" s="354"/>
      <c r="BJ113" s="354"/>
      <c r="BK113" s="354"/>
      <c r="BL113" s="354"/>
      <c r="BM113" s="354"/>
      <c r="BN113" s="354"/>
      <c r="BO113" s="354"/>
      <c r="BP113" s="357"/>
      <c r="BQ113" s="354"/>
      <c r="BR113" s="393"/>
      <c r="BS113" s="393"/>
      <c r="BT113" s="393"/>
      <c r="BU113" s="393"/>
      <c r="BV113" s="395"/>
      <c r="BW113" s="395"/>
      <c r="BX113" s="395"/>
      <c r="BY113" s="394"/>
      <c r="BZ113" s="394"/>
      <c r="CA113" s="394"/>
      <c r="CB113" s="395"/>
      <c r="CC113" s="395"/>
      <c r="CD113" s="395"/>
      <c r="CE113" s="394"/>
      <c r="CF113" s="394"/>
      <c r="CG113" s="395"/>
      <c r="CH113" s="395"/>
      <c r="CI113" s="395"/>
      <c r="CJ113" s="394"/>
      <c r="CK113" s="394"/>
      <c r="CL113" s="395"/>
      <c r="CM113" s="395"/>
      <c r="CN113" s="395"/>
      <c r="CO113" s="394"/>
      <c r="CP113" s="394"/>
      <c r="CQ113" s="395"/>
      <c r="CR113" s="395"/>
      <c r="CS113" s="395"/>
      <c r="CT113" s="394"/>
      <c r="CU113" s="394"/>
      <c r="CV113" s="395"/>
      <c r="CW113" s="395"/>
      <c r="CX113" s="395"/>
      <c r="CY113" s="395"/>
      <c r="CZ113" s="394"/>
      <c r="DA113" s="394"/>
      <c r="DB113" s="395"/>
      <c r="DC113" s="394"/>
      <c r="DD113" s="394"/>
      <c r="DE113" s="394"/>
      <c r="DF113" s="395"/>
      <c r="DG113" s="395"/>
      <c r="DH113" s="395"/>
      <c r="DI113" s="395"/>
      <c r="DJ113" s="394"/>
      <c r="DK113" s="394"/>
      <c r="DL113" s="395"/>
      <c r="DM113" s="395"/>
      <c r="DN113" s="395"/>
      <c r="DO113" s="394"/>
      <c r="DP113" s="394"/>
      <c r="DQ113" s="395"/>
      <c r="DR113" s="395"/>
      <c r="DS113" s="395"/>
      <c r="DT113" s="395"/>
      <c r="DU113" s="395"/>
      <c r="DV113" s="395"/>
      <c r="DW113" s="394"/>
      <c r="DX113" s="394"/>
      <c r="DY113" s="394"/>
      <c r="DZ113" s="395"/>
      <c r="EA113" s="395"/>
      <c r="EB113" s="394"/>
      <c r="EC113" s="394"/>
      <c r="ED113" s="394"/>
      <c r="EE113" s="394"/>
      <c r="EF113" s="354"/>
      <c r="EG113" s="357"/>
      <c r="EH113" s="359"/>
      <c r="EI113" s="359"/>
      <c r="EJ113" s="359"/>
      <c r="EK113" s="357"/>
      <c r="EL113" s="354"/>
      <c r="EM113" s="357"/>
      <c r="EN113" s="359"/>
      <c r="EO113" s="359"/>
      <c r="EP113" s="362"/>
      <c r="EQ113" s="362"/>
      <c r="ER113" s="362"/>
      <c r="ES113" s="362"/>
      <c r="ET113" s="358"/>
      <c r="EU113" s="362"/>
      <c r="EV113" s="362"/>
      <c r="EW113" s="362"/>
      <c r="EX113" s="362"/>
      <c r="EY113" s="362"/>
      <c r="EZ113" s="362"/>
      <c r="FA113" s="362"/>
      <c r="FB113" s="362"/>
      <c r="FC113" s="362"/>
      <c r="FD113" s="362"/>
      <c r="FE113" s="362"/>
      <c r="FF113" s="362"/>
      <c r="FG113" s="362"/>
      <c r="FH113" s="362"/>
      <c r="FI113" s="362"/>
      <c r="FJ113" s="362"/>
      <c r="FK113" s="362"/>
      <c r="FL113" s="362"/>
      <c r="FM113" s="362"/>
      <c r="FN113" s="362"/>
      <c r="FO113" s="362"/>
      <c r="FP113" s="362"/>
      <c r="FQ113" s="362"/>
      <c r="FR113" s="359"/>
      <c r="FS113" s="359"/>
      <c r="FT113" s="362"/>
      <c r="FU113" s="362"/>
      <c r="FV113" s="362"/>
      <c r="FW113" s="361"/>
      <c r="FX113" s="362"/>
      <c r="FY113" s="362"/>
      <c r="FZ113" s="358"/>
      <c r="GA113" s="362"/>
      <c r="GB113" s="362"/>
      <c r="GC113" s="362"/>
      <c r="GD113" s="362"/>
      <c r="GE113" s="361"/>
      <c r="GF113" s="361"/>
      <c r="GG113" s="362"/>
      <c r="GH113" s="358"/>
      <c r="GI113" s="361"/>
      <c r="GJ113" s="362"/>
      <c r="GK113" s="361"/>
      <c r="GL113" s="361"/>
      <c r="GM113" s="361"/>
      <c r="GN113" s="362"/>
      <c r="GO113" s="362"/>
      <c r="GP113" s="362"/>
      <c r="GQ113" s="362"/>
      <c r="GR113" s="362"/>
    </row>
    <row r="114" spans="1:200" ht="13.5" customHeight="1" x14ac:dyDescent="0.2">
      <c r="A114" s="355"/>
      <c r="B114" s="361"/>
      <c r="C114" s="362"/>
      <c r="D114" s="362"/>
      <c r="E114" s="362"/>
      <c r="F114" s="362"/>
      <c r="G114" s="362"/>
      <c r="H114" s="362"/>
      <c r="I114" s="362"/>
      <c r="J114" s="362"/>
      <c r="K114" s="362"/>
      <c r="L114" s="361"/>
      <c r="M114" s="361"/>
      <c r="N114" s="361"/>
      <c r="O114" s="362"/>
      <c r="P114" s="359"/>
      <c r="Q114" s="357"/>
      <c r="R114" s="364"/>
      <c r="S114" s="360"/>
      <c r="T114" s="361"/>
      <c r="U114" s="362"/>
      <c r="V114" s="362"/>
      <c r="W114" s="362"/>
      <c r="X114" s="362"/>
      <c r="Y114" s="362"/>
      <c r="Z114" s="362"/>
      <c r="AA114" s="361"/>
      <c r="AB114" s="361"/>
      <c r="AC114" s="361"/>
      <c r="AD114" s="354"/>
      <c r="AE114" s="354"/>
      <c r="AF114" s="354"/>
      <c r="AG114" s="354"/>
      <c r="AH114" s="354"/>
      <c r="AI114" s="354"/>
      <c r="AJ114" s="354"/>
      <c r="AK114" s="354"/>
      <c r="AL114" s="354"/>
      <c r="AM114" s="354"/>
      <c r="AN114" s="357"/>
      <c r="AO114" s="354"/>
      <c r="AP114" s="354"/>
      <c r="AQ114" s="380"/>
      <c r="AR114" s="381"/>
      <c r="AS114" s="354"/>
      <c r="AT114" s="354"/>
      <c r="AU114" s="380"/>
      <c r="AV114" s="354"/>
      <c r="AW114" s="380"/>
      <c r="AX114" s="354"/>
      <c r="AY114" s="354"/>
      <c r="AZ114" s="354"/>
      <c r="BA114" s="380"/>
      <c r="BB114" s="357"/>
      <c r="BC114" s="355"/>
      <c r="BD114" s="362"/>
      <c r="BE114" s="354"/>
      <c r="BF114" s="354"/>
      <c r="BG114" s="354"/>
      <c r="BH114" s="380"/>
      <c r="BI114" s="381"/>
      <c r="BJ114" s="354"/>
      <c r="BK114" s="354"/>
      <c r="BL114" s="357"/>
      <c r="BM114" s="354"/>
      <c r="BN114" s="354"/>
      <c r="BO114" s="354"/>
      <c r="BP114" s="354"/>
      <c r="BQ114" s="354"/>
      <c r="BR114" s="393"/>
      <c r="BS114" s="393"/>
      <c r="BT114" s="393"/>
      <c r="BU114" s="393"/>
      <c r="BV114" s="395"/>
      <c r="BW114" s="395"/>
      <c r="BX114" s="395"/>
      <c r="BY114" s="394"/>
      <c r="BZ114" s="394"/>
      <c r="CA114" s="394"/>
      <c r="CB114" s="395"/>
      <c r="CC114" s="395"/>
      <c r="CD114" s="395"/>
      <c r="CE114" s="394"/>
      <c r="CF114" s="394"/>
      <c r="CG114" s="395"/>
      <c r="CH114" s="395"/>
      <c r="CI114" s="395"/>
      <c r="CJ114" s="394"/>
      <c r="CK114" s="394"/>
      <c r="CL114" s="395"/>
      <c r="CM114" s="395"/>
      <c r="CN114" s="395"/>
      <c r="CO114" s="394"/>
      <c r="CP114" s="395"/>
      <c r="CQ114" s="395"/>
      <c r="CR114" s="395"/>
      <c r="CS114" s="395"/>
      <c r="CT114" s="394"/>
      <c r="CU114" s="394"/>
      <c r="CV114" s="395"/>
      <c r="CW114" s="395"/>
      <c r="CX114" s="395"/>
      <c r="CY114" s="395"/>
      <c r="CZ114" s="395"/>
      <c r="DA114" s="395"/>
      <c r="DB114" s="395"/>
      <c r="DC114" s="395"/>
      <c r="DD114" s="394"/>
      <c r="DE114" s="394"/>
      <c r="DF114" s="395"/>
      <c r="DG114" s="395"/>
      <c r="DH114" s="395"/>
      <c r="DI114" s="395"/>
      <c r="DJ114" s="394"/>
      <c r="DK114" s="394"/>
      <c r="DL114" s="395"/>
      <c r="DM114" s="395"/>
      <c r="DN114" s="395"/>
      <c r="DO114" s="394"/>
      <c r="DP114" s="395"/>
      <c r="DQ114" s="395"/>
      <c r="DR114" s="395"/>
      <c r="DS114" s="395"/>
      <c r="DT114" s="395"/>
      <c r="DU114" s="395"/>
      <c r="DV114" s="395"/>
      <c r="DW114" s="395"/>
      <c r="DX114" s="394"/>
      <c r="DY114" s="394"/>
      <c r="DZ114" s="395"/>
      <c r="EA114" s="395"/>
      <c r="EB114" s="394"/>
      <c r="EC114" s="394"/>
      <c r="ED114" s="394"/>
      <c r="EE114" s="394"/>
      <c r="EF114" s="354"/>
      <c r="EG114" s="354"/>
      <c r="EH114" s="357"/>
      <c r="EI114" s="357"/>
      <c r="EJ114" s="357"/>
      <c r="EK114" s="357"/>
      <c r="EL114" s="357"/>
      <c r="EM114" s="359"/>
      <c r="EN114" s="359"/>
      <c r="EO114" s="362"/>
      <c r="EP114" s="362"/>
      <c r="EQ114" s="362"/>
      <c r="ER114" s="362"/>
      <c r="ES114" s="359"/>
      <c r="ET114" s="362"/>
      <c r="EU114" s="362"/>
      <c r="EV114" s="362"/>
      <c r="EW114" s="362"/>
      <c r="EX114" s="362"/>
      <c r="EY114" s="362"/>
      <c r="EZ114" s="362"/>
      <c r="FA114" s="362"/>
      <c r="FB114" s="362"/>
      <c r="FC114" s="362"/>
      <c r="FD114" s="362"/>
      <c r="FE114" s="362"/>
      <c r="FF114" s="362"/>
      <c r="FG114" s="362"/>
      <c r="FH114" s="362"/>
      <c r="FI114" s="362"/>
      <c r="FJ114" s="359"/>
      <c r="FK114" s="359"/>
      <c r="FL114" s="362"/>
      <c r="FM114" s="362"/>
      <c r="FN114" s="362"/>
      <c r="FO114" s="358"/>
      <c r="FP114" s="362"/>
      <c r="FQ114" s="362"/>
      <c r="FR114" s="358"/>
      <c r="FS114" s="362"/>
      <c r="FT114" s="362"/>
      <c r="FU114" s="362"/>
      <c r="FV114" s="361"/>
      <c r="FW114" s="362"/>
      <c r="FX114" s="362"/>
      <c r="FY114" s="358"/>
      <c r="FZ114" s="361"/>
      <c r="GA114" s="361"/>
      <c r="GB114" s="362"/>
      <c r="GC114" s="361"/>
      <c r="GD114" s="361"/>
      <c r="GE114" s="361"/>
      <c r="GF114" s="361"/>
      <c r="GG114" s="362"/>
      <c r="GH114" s="361"/>
      <c r="GI114" s="362"/>
      <c r="GJ114" s="361"/>
      <c r="GK114" s="361"/>
      <c r="GL114" s="361"/>
      <c r="GM114" s="361"/>
      <c r="GN114" s="362"/>
      <c r="GO114" s="361"/>
      <c r="GP114" s="362"/>
      <c r="GQ114" s="362"/>
      <c r="GR114" s="362"/>
    </row>
    <row r="115" spans="1:200" ht="13.5" customHeight="1" x14ac:dyDescent="0.2">
      <c r="A115" s="355"/>
      <c r="B115" s="362"/>
      <c r="C115" s="362"/>
      <c r="D115" s="362"/>
      <c r="E115" s="362"/>
      <c r="F115" s="362"/>
      <c r="G115" s="362"/>
      <c r="H115" s="362"/>
      <c r="I115" s="362"/>
      <c r="J115" s="362"/>
      <c r="K115" s="362"/>
      <c r="L115" s="355"/>
      <c r="M115" s="361"/>
      <c r="N115" s="361"/>
      <c r="O115" s="361"/>
      <c r="P115" s="361"/>
      <c r="Q115" s="362"/>
      <c r="R115" s="359"/>
      <c r="S115" s="362"/>
      <c r="T115" s="360"/>
      <c r="U115" s="361"/>
      <c r="V115" s="360"/>
      <c r="W115" s="364"/>
      <c r="X115" s="362"/>
      <c r="Y115" s="361"/>
      <c r="Z115" s="361"/>
      <c r="AA115" s="360"/>
      <c r="AB115" s="361"/>
      <c r="AC115" s="360"/>
      <c r="AD115" s="357"/>
      <c r="AE115" s="354"/>
      <c r="AF115" s="354"/>
      <c r="AG115" s="354"/>
      <c r="AH115" s="354"/>
      <c r="AI115" s="354"/>
      <c r="AJ115" s="354"/>
      <c r="AK115" s="354"/>
      <c r="AL115" s="354"/>
      <c r="AM115" s="354"/>
      <c r="AN115" s="354"/>
      <c r="AO115" s="354"/>
      <c r="AP115" s="354"/>
      <c r="AQ115" s="380"/>
      <c r="AR115" s="381"/>
      <c r="AS115" s="354"/>
      <c r="AT115" s="354"/>
      <c r="AU115" s="369"/>
      <c r="AV115" s="354"/>
      <c r="AW115" s="354"/>
      <c r="AX115" s="354"/>
      <c r="AY115" s="354"/>
      <c r="AZ115" s="354"/>
      <c r="BA115" s="380"/>
      <c r="BB115" s="380"/>
      <c r="BC115" s="354"/>
      <c r="BD115" s="355"/>
      <c r="BE115" s="355"/>
      <c r="BF115" s="354"/>
      <c r="BG115" s="354"/>
      <c r="BH115" s="354"/>
      <c r="BI115" s="381"/>
      <c r="BJ115" s="390"/>
      <c r="BK115" s="354"/>
      <c r="BL115" s="354"/>
      <c r="BM115" s="354"/>
      <c r="BN115" s="381"/>
      <c r="BO115" s="354"/>
      <c r="BP115" s="354"/>
      <c r="BQ115" s="354"/>
      <c r="BR115" s="393"/>
      <c r="BS115" s="393"/>
      <c r="BT115" s="393"/>
      <c r="BU115" s="393"/>
      <c r="BV115" s="395"/>
      <c r="BW115" s="395"/>
      <c r="BX115" s="394"/>
      <c r="BY115" s="394"/>
      <c r="BZ115" s="394"/>
      <c r="CA115" s="395"/>
      <c r="CB115" s="395"/>
      <c r="CC115" s="395"/>
      <c r="CD115" s="394"/>
      <c r="CE115" s="394"/>
      <c r="CF115" s="395"/>
      <c r="CG115" s="395"/>
      <c r="CH115" s="395"/>
      <c r="CI115" s="395"/>
      <c r="CJ115" s="394"/>
      <c r="CK115" s="395"/>
      <c r="CL115" s="395"/>
      <c r="CM115" s="395"/>
      <c r="CN115" s="395"/>
      <c r="CO115" s="394"/>
      <c r="CP115" s="395"/>
      <c r="CQ115" s="395"/>
      <c r="CR115" s="395"/>
      <c r="CS115" s="395"/>
      <c r="CT115" s="394"/>
      <c r="CU115" s="395"/>
      <c r="CV115" s="395"/>
      <c r="CW115" s="395"/>
      <c r="CX115" s="395"/>
      <c r="CY115" s="395"/>
      <c r="CZ115" s="395"/>
      <c r="DA115" s="395"/>
      <c r="DB115" s="395"/>
      <c r="DC115" s="395"/>
      <c r="DD115" s="394"/>
      <c r="DE115" s="395"/>
      <c r="DF115" s="395"/>
      <c r="DG115" s="395"/>
      <c r="DH115" s="395"/>
      <c r="DI115" s="394"/>
      <c r="DJ115" s="394"/>
      <c r="DK115" s="395"/>
      <c r="DL115" s="395"/>
      <c r="DM115" s="395"/>
      <c r="DN115" s="395"/>
      <c r="DO115" s="394"/>
      <c r="DP115" s="395"/>
      <c r="DQ115" s="395"/>
      <c r="DR115" s="395"/>
      <c r="DS115" s="395"/>
      <c r="DT115" s="395"/>
      <c r="DU115" s="395"/>
      <c r="DV115" s="395"/>
      <c r="DW115" s="395"/>
      <c r="DX115" s="394"/>
      <c r="DY115" s="394"/>
      <c r="DZ115" s="395"/>
      <c r="EA115" s="395"/>
      <c r="EB115" s="395"/>
      <c r="EC115" s="394"/>
      <c r="ED115" s="394"/>
      <c r="EE115" s="394"/>
      <c r="EF115" s="354"/>
      <c r="EG115" s="354"/>
      <c r="EH115" s="359"/>
      <c r="EI115" s="359"/>
      <c r="EJ115" s="357"/>
      <c r="EK115" s="359"/>
      <c r="EL115" s="359"/>
      <c r="EM115" s="359"/>
      <c r="EN115" s="362"/>
      <c r="EO115" s="362"/>
      <c r="EP115" s="362"/>
      <c r="EQ115" s="362"/>
      <c r="ER115" s="358"/>
      <c r="ES115" s="358"/>
      <c r="ET115" s="362"/>
      <c r="EU115" s="359"/>
      <c r="EV115" s="362"/>
      <c r="EW115" s="362"/>
      <c r="EX115" s="362"/>
      <c r="EY115" s="362"/>
      <c r="EZ115" s="362"/>
      <c r="FA115" s="362"/>
      <c r="FB115" s="362"/>
      <c r="FC115" s="362"/>
      <c r="FD115" s="362"/>
      <c r="FE115" s="362"/>
      <c r="FF115" s="362"/>
      <c r="FG115" s="362"/>
      <c r="FH115" s="362"/>
      <c r="FI115" s="362"/>
      <c r="FJ115" s="359"/>
      <c r="FK115" s="362"/>
      <c r="FL115" s="362"/>
      <c r="FM115" s="362"/>
      <c r="FN115" s="358"/>
      <c r="FO115" s="358"/>
      <c r="FP115" s="362"/>
      <c r="FQ115" s="362"/>
      <c r="FR115" s="362"/>
      <c r="FS115" s="362"/>
      <c r="FT115" s="358"/>
      <c r="FU115" s="361"/>
      <c r="FV115" s="362"/>
      <c r="FW115" s="361"/>
      <c r="FX115" s="362"/>
      <c r="FY115" s="361"/>
      <c r="FZ115" s="361"/>
      <c r="GA115" s="362"/>
      <c r="GB115" s="361"/>
      <c r="GC115" s="362"/>
      <c r="GD115" s="361"/>
      <c r="GE115" s="361"/>
      <c r="GF115" s="362"/>
      <c r="GG115" s="361"/>
      <c r="GH115" s="362"/>
      <c r="GI115" s="362"/>
      <c r="GJ115" s="361"/>
      <c r="GK115" s="362"/>
      <c r="GL115" s="361"/>
      <c r="GM115" s="362"/>
      <c r="GN115" s="361"/>
      <c r="GO115" s="362"/>
      <c r="GP115" s="355"/>
      <c r="GQ115" s="355"/>
      <c r="GR115" s="362"/>
    </row>
    <row r="116" spans="1:200" ht="13.5" customHeight="1" x14ac:dyDescent="0.2">
      <c r="A116" s="360"/>
      <c r="B116" s="355"/>
      <c r="C116" s="362"/>
      <c r="D116" s="362"/>
      <c r="E116" s="362"/>
      <c r="F116" s="361"/>
      <c r="G116" s="361"/>
      <c r="H116" s="361"/>
      <c r="I116" s="362"/>
      <c r="J116" s="362"/>
      <c r="K116" s="362"/>
      <c r="L116" s="355"/>
      <c r="M116" s="360"/>
      <c r="N116" s="360"/>
      <c r="O116" s="359"/>
      <c r="P116" s="359"/>
      <c r="Q116" s="361"/>
      <c r="R116" s="362"/>
      <c r="S116" s="362"/>
      <c r="T116" s="362"/>
      <c r="U116" s="364"/>
      <c r="V116" s="364"/>
      <c r="W116" s="360"/>
      <c r="X116" s="364"/>
      <c r="Y116" s="360"/>
      <c r="Z116" s="361"/>
      <c r="AA116" s="361"/>
      <c r="AB116" s="361"/>
      <c r="AC116" s="361"/>
      <c r="AD116" s="355"/>
      <c r="AE116" s="354"/>
      <c r="AF116" s="357"/>
      <c r="AG116" s="354"/>
      <c r="AH116" s="354"/>
      <c r="AI116" s="354"/>
      <c r="AJ116" s="354"/>
      <c r="AK116" s="354"/>
      <c r="AL116" s="354"/>
      <c r="AM116" s="354"/>
      <c r="AN116" s="354"/>
      <c r="AO116" s="380"/>
      <c r="AP116" s="381"/>
      <c r="AQ116" s="381"/>
      <c r="AR116" s="354"/>
      <c r="AS116" s="380"/>
      <c r="AT116" s="357"/>
      <c r="AU116" s="354"/>
      <c r="AV116" s="354"/>
      <c r="AW116" s="354"/>
      <c r="AX116" s="354"/>
      <c r="AY116" s="354"/>
      <c r="AZ116" s="354"/>
      <c r="BA116" s="354"/>
      <c r="BB116" s="357"/>
      <c r="BC116" s="354"/>
      <c r="BD116" s="355"/>
      <c r="BE116" s="355"/>
      <c r="BF116" s="354"/>
      <c r="BG116" s="354"/>
      <c r="BH116" s="354"/>
      <c r="BI116" s="354"/>
      <c r="BJ116" s="390"/>
      <c r="BK116" s="354"/>
      <c r="BL116" s="354"/>
      <c r="BM116" s="354"/>
      <c r="BN116" s="354"/>
      <c r="BO116" s="354"/>
      <c r="BP116" s="354"/>
      <c r="BQ116" s="354"/>
      <c r="BR116" s="393"/>
      <c r="BS116" s="393"/>
      <c r="BT116" s="393"/>
      <c r="BU116" s="393"/>
      <c r="BV116" s="395"/>
      <c r="BW116" s="395"/>
      <c r="BX116" s="394"/>
      <c r="BY116" s="394"/>
      <c r="BZ116" s="394"/>
      <c r="CA116" s="395"/>
      <c r="CB116" s="395"/>
      <c r="CC116" s="395"/>
      <c r="CD116" s="394"/>
      <c r="CE116" s="394"/>
      <c r="CF116" s="395"/>
      <c r="CG116" s="395"/>
      <c r="CH116" s="395"/>
      <c r="CI116" s="394"/>
      <c r="CJ116" s="394"/>
      <c r="CK116" s="395"/>
      <c r="CL116" s="395"/>
      <c r="CM116" s="395"/>
      <c r="CN116" s="394"/>
      <c r="CO116" s="394"/>
      <c r="CP116" s="395"/>
      <c r="CQ116" s="395"/>
      <c r="CR116" s="395"/>
      <c r="CS116" s="394"/>
      <c r="CT116" s="394"/>
      <c r="CU116" s="395"/>
      <c r="CV116" s="395"/>
      <c r="CW116" s="395"/>
      <c r="CX116" s="395"/>
      <c r="CY116" s="395"/>
      <c r="CZ116" s="395"/>
      <c r="DA116" s="395"/>
      <c r="DB116" s="395"/>
      <c r="DC116" s="395"/>
      <c r="DD116" s="394"/>
      <c r="DE116" s="395"/>
      <c r="DF116" s="395"/>
      <c r="DG116" s="395"/>
      <c r="DH116" s="395"/>
      <c r="DI116" s="394"/>
      <c r="DJ116" s="394"/>
      <c r="DK116" s="395"/>
      <c r="DL116" s="395"/>
      <c r="DM116" s="395"/>
      <c r="DN116" s="394"/>
      <c r="DO116" s="394"/>
      <c r="DP116" s="395"/>
      <c r="DQ116" s="395"/>
      <c r="DR116" s="395"/>
      <c r="DS116" s="395"/>
      <c r="DT116" s="395"/>
      <c r="DU116" s="395"/>
      <c r="DV116" s="395"/>
      <c r="DW116" s="395"/>
      <c r="DX116" s="394"/>
      <c r="DY116" s="394"/>
      <c r="DZ116" s="394"/>
      <c r="EA116" s="395"/>
      <c r="EB116" s="395"/>
      <c r="EC116" s="394"/>
      <c r="ED116" s="394"/>
      <c r="EE116" s="394"/>
      <c r="EF116" s="394"/>
      <c r="EG116" s="354"/>
      <c r="EH116" s="357"/>
      <c r="EI116" s="357"/>
      <c r="EJ116" s="359"/>
      <c r="EK116" s="359"/>
      <c r="EL116" s="362"/>
      <c r="EM116" s="361"/>
      <c r="EN116" s="361"/>
      <c r="EO116" s="362"/>
      <c r="EP116" s="362"/>
      <c r="EQ116" s="362"/>
      <c r="ER116" s="359"/>
      <c r="ES116" s="362"/>
      <c r="ET116" s="359"/>
      <c r="EU116" s="359"/>
      <c r="EV116" s="362"/>
      <c r="EW116" s="362"/>
      <c r="EX116" s="362"/>
      <c r="EY116" s="362"/>
      <c r="EZ116" s="362"/>
      <c r="FA116" s="362"/>
      <c r="FB116" s="358"/>
      <c r="FC116" s="358"/>
      <c r="FD116" s="357"/>
      <c r="FE116" s="357"/>
      <c r="FF116" s="357"/>
      <c r="FG116" s="359"/>
      <c r="FH116" s="362"/>
      <c r="FI116" s="359"/>
      <c r="FJ116" s="362"/>
      <c r="FK116" s="362"/>
      <c r="FL116" s="362"/>
      <c r="FM116" s="362"/>
      <c r="FN116" s="358"/>
      <c r="FO116" s="362"/>
      <c r="FP116" s="358"/>
      <c r="FQ116" s="362"/>
      <c r="FR116" s="362"/>
      <c r="FS116" s="362"/>
      <c r="FT116" s="361"/>
      <c r="FU116" s="361"/>
      <c r="FV116" s="361"/>
      <c r="FW116" s="361"/>
      <c r="FX116" s="362"/>
      <c r="FY116" s="361"/>
      <c r="FZ116" s="362"/>
      <c r="GA116" s="361"/>
      <c r="GB116" s="362"/>
      <c r="GC116" s="358"/>
      <c r="GD116" s="361"/>
      <c r="GE116" s="362"/>
      <c r="GF116" s="361"/>
      <c r="GG116" s="362"/>
      <c r="GH116" s="362"/>
      <c r="GI116" s="361"/>
      <c r="GJ116" s="362"/>
      <c r="GK116" s="361"/>
      <c r="GL116" s="361"/>
      <c r="GM116" s="362"/>
      <c r="GN116" s="357"/>
      <c r="GO116" s="357"/>
      <c r="GP116" s="356"/>
      <c r="GQ116" s="390"/>
      <c r="GR116" s="358"/>
    </row>
    <row r="117" spans="1:200" ht="13.5" customHeight="1" x14ac:dyDescent="0.2">
      <c r="A117" s="359"/>
      <c r="B117" s="357"/>
      <c r="C117" s="361"/>
      <c r="D117" s="361"/>
      <c r="E117" s="361"/>
      <c r="F117" s="355"/>
      <c r="G117" s="355"/>
      <c r="H117" s="355"/>
      <c r="I117" s="361"/>
      <c r="J117" s="362"/>
      <c r="K117" s="362"/>
      <c r="L117" s="361"/>
      <c r="M117" s="361"/>
      <c r="N117" s="362"/>
      <c r="O117" s="362"/>
      <c r="P117" s="361"/>
      <c r="Q117" s="361"/>
      <c r="R117" s="362"/>
      <c r="S117" s="362"/>
      <c r="T117" s="362"/>
      <c r="U117" s="362"/>
      <c r="V117" s="359"/>
      <c r="W117" s="359"/>
      <c r="X117" s="359"/>
      <c r="Y117" s="361"/>
      <c r="Z117" s="361"/>
      <c r="AA117" s="361"/>
      <c r="AB117" s="361"/>
      <c r="AC117" s="361"/>
      <c r="AD117" s="357"/>
      <c r="AE117" s="357"/>
      <c r="AF117" s="380"/>
      <c r="AG117" s="354"/>
      <c r="AH117" s="354"/>
      <c r="AI117" s="357"/>
      <c r="AJ117" s="380"/>
      <c r="AK117" s="354"/>
      <c r="AL117" s="354"/>
      <c r="AM117" s="354"/>
      <c r="AN117" s="354"/>
      <c r="AO117" s="354"/>
      <c r="AP117" s="381"/>
      <c r="AQ117" s="381"/>
      <c r="AR117" s="381"/>
      <c r="AS117" s="357"/>
      <c r="AT117" s="354"/>
      <c r="AU117" s="354"/>
      <c r="AV117" s="380"/>
      <c r="AW117" s="354"/>
      <c r="AX117" s="354"/>
      <c r="AY117" s="354"/>
      <c r="AZ117" s="354"/>
      <c r="BA117" s="381"/>
      <c r="BB117" s="354"/>
      <c r="BC117" s="354"/>
      <c r="BD117" s="357"/>
      <c r="BE117" s="355"/>
      <c r="BF117" s="354"/>
      <c r="BG117" s="354"/>
      <c r="BH117" s="354"/>
      <c r="BI117" s="354"/>
      <c r="BJ117" s="354"/>
      <c r="BK117" s="357"/>
      <c r="BL117" s="354"/>
      <c r="BM117" s="354"/>
      <c r="BN117" s="354"/>
      <c r="BO117" s="354"/>
      <c r="BP117" s="354"/>
      <c r="BQ117" s="381"/>
      <c r="BR117" s="393"/>
      <c r="BS117" s="393"/>
      <c r="BT117" s="393"/>
      <c r="BU117" s="393"/>
      <c r="BV117" s="395"/>
      <c r="BW117" s="395"/>
      <c r="BX117" s="394"/>
      <c r="BY117" s="394"/>
      <c r="BZ117" s="394"/>
      <c r="CA117" s="395"/>
      <c r="CB117" s="395"/>
      <c r="CC117" s="395"/>
      <c r="CD117" s="394"/>
      <c r="CE117" s="394"/>
      <c r="CF117" s="395"/>
      <c r="CG117" s="395"/>
      <c r="CH117" s="395"/>
      <c r="CI117" s="394"/>
      <c r="CJ117" s="394"/>
      <c r="CK117" s="395"/>
      <c r="CL117" s="395"/>
      <c r="CM117" s="395"/>
      <c r="CN117" s="394"/>
      <c r="CO117" s="395"/>
      <c r="CP117" s="395"/>
      <c r="CQ117" s="395"/>
      <c r="CR117" s="395"/>
      <c r="CS117" s="394"/>
      <c r="CT117" s="394"/>
      <c r="CU117" s="395"/>
      <c r="CV117" s="395"/>
      <c r="CW117" s="395"/>
      <c r="CX117" s="395"/>
      <c r="CY117" s="395"/>
      <c r="CZ117" s="395"/>
      <c r="DA117" s="395"/>
      <c r="DB117" s="395"/>
      <c r="DC117" s="394"/>
      <c r="DD117" s="394"/>
      <c r="DE117" s="394"/>
      <c r="DF117" s="395"/>
      <c r="DG117" s="395"/>
      <c r="DH117" s="394"/>
      <c r="DI117" s="394"/>
      <c r="DJ117" s="394"/>
      <c r="DK117" s="395"/>
      <c r="DL117" s="395"/>
      <c r="DM117" s="395"/>
      <c r="DN117" s="394"/>
      <c r="DO117" s="394"/>
      <c r="DP117" s="395"/>
      <c r="DQ117" s="395"/>
      <c r="DR117" s="395"/>
      <c r="DS117" s="395"/>
      <c r="DT117" s="395"/>
      <c r="DU117" s="395"/>
      <c r="DV117" s="395"/>
      <c r="DW117" s="395"/>
      <c r="DX117" s="394"/>
      <c r="DY117" s="394"/>
      <c r="DZ117" s="394"/>
      <c r="EA117" s="395"/>
      <c r="EB117" s="395"/>
      <c r="EC117" s="394"/>
      <c r="ED117" s="394"/>
      <c r="EE117" s="394"/>
      <c r="EF117" s="394"/>
      <c r="EG117" s="354"/>
      <c r="EH117" s="359"/>
      <c r="EI117" s="362"/>
      <c r="EJ117" s="358"/>
      <c r="EK117" s="362"/>
      <c r="EL117" s="362"/>
      <c r="EM117" s="362"/>
      <c r="EN117" s="362"/>
      <c r="EO117" s="362"/>
      <c r="EP117" s="362"/>
      <c r="EQ117" s="359"/>
      <c r="ER117" s="359"/>
      <c r="ES117" s="362"/>
      <c r="ET117" s="359"/>
      <c r="EU117" s="355"/>
      <c r="EV117" s="355"/>
      <c r="EW117" s="362"/>
      <c r="EX117" s="358"/>
      <c r="EY117" s="362"/>
      <c r="EZ117" s="362"/>
      <c r="FA117" s="362"/>
      <c r="FB117" s="358"/>
      <c r="FC117" s="355"/>
      <c r="FD117" s="355"/>
      <c r="FE117" s="356"/>
      <c r="FF117" s="387"/>
      <c r="FG117" s="357"/>
      <c r="FH117" s="357"/>
      <c r="FI117" s="359"/>
      <c r="FJ117" s="362"/>
      <c r="FK117" s="362"/>
      <c r="FL117" s="362"/>
      <c r="FM117" s="362"/>
      <c r="FN117" s="355"/>
      <c r="FO117" s="358"/>
      <c r="FP117" s="357"/>
      <c r="FQ117" s="359"/>
      <c r="FR117" s="358"/>
      <c r="FS117" s="355"/>
      <c r="FT117" s="355"/>
      <c r="FU117" s="355"/>
      <c r="FV117" s="360"/>
      <c r="FW117" s="361"/>
      <c r="FX117" s="361"/>
      <c r="FY117" s="361"/>
      <c r="FZ117" s="361"/>
      <c r="GA117" s="361"/>
      <c r="GB117" s="362"/>
      <c r="GC117" s="361"/>
      <c r="GD117" s="361"/>
      <c r="GE117" s="361"/>
      <c r="GF117" s="361"/>
      <c r="GG117" s="361"/>
      <c r="GH117" s="361"/>
      <c r="GI117" s="362"/>
      <c r="GJ117" s="361"/>
      <c r="GK117" s="361"/>
      <c r="GL117" s="362"/>
      <c r="GM117" s="359"/>
      <c r="GN117" s="357"/>
      <c r="GO117" s="356"/>
      <c r="GP117" s="367"/>
      <c r="GQ117" s="367"/>
      <c r="GR117" s="357"/>
    </row>
    <row r="118" spans="1:200" ht="13.5" customHeight="1" x14ac:dyDescent="0.2">
      <c r="A118" s="359"/>
      <c r="B118" s="357"/>
      <c r="C118" s="359"/>
      <c r="D118" s="359"/>
      <c r="E118" s="359"/>
      <c r="F118" s="362"/>
      <c r="G118" s="362"/>
      <c r="H118" s="362"/>
      <c r="I118" s="362"/>
      <c r="J118" s="362"/>
      <c r="K118" s="362"/>
      <c r="L118" s="362"/>
      <c r="M118" s="362"/>
      <c r="N118" s="362"/>
      <c r="O118" s="362"/>
      <c r="P118" s="362"/>
      <c r="Q118" s="362"/>
      <c r="R118" s="361"/>
      <c r="S118" s="361"/>
      <c r="T118" s="362"/>
      <c r="U118" s="362"/>
      <c r="V118" s="362"/>
      <c r="W118" s="362"/>
      <c r="X118" s="362"/>
      <c r="Y118" s="360"/>
      <c r="Z118" s="361"/>
      <c r="AA118" s="361"/>
      <c r="AB118" s="387"/>
      <c r="AC118" s="362"/>
      <c r="AD118" s="357"/>
      <c r="AE118" s="381"/>
      <c r="AF118" s="380"/>
      <c r="AG118" s="354"/>
      <c r="AH118" s="357"/>
      <c r="AI118" s="354"/>
      <c r="AJ118" s="357"/>
      <c r="AK118" s="354"/>
      <c r="AL118" s="354"/>
      <c r="AM118" s="354"/>
      <c r="AN118" s="354"/>
      <c r="AO118" s="354"/>
      <c r="AP118" s="369"/>
      <c r="AQ118" s="369"/>
      <c r="AR118" s="381"/>
      <c r="AS118" s="357"/>
      <c r="AT118" s="354"/>
      <c r="AU118" s="357"/>
      <c r="AV118" s="354"/>
      <c r="AW118" s="354"/>
      <c r="AX118" s="354"/>
      <c r="AY118" s="354"/>
      <c r="AZ118" s="354"/>
      <c r="BA118" s="380"/>
      <c r="BB118" s="354"/>
      <c r="BC118" s="354"/>
      <c r="BD118" s="354"/>
      <c r="BE118" s="355"/>
      <c r="BF118" s="367"/>
      <c r="BG118" s="354"/>
      <c r="BH118" s="357"/>
      <c r="BI118" s="380"/>
      <c r="BJ118" s="354"/>
      <c r="BK118" s="354"/>
      <c r="BL118" s="354"/>
      <c r="BM118" s="354"/>
      <c r="BN118" s="354"/>
      <c r="BO118" s="354"/>
      <c r="BP118" s="354"/>
      <c r="BQ118" s="393"/>
      <c r="BR118" s="393"/>
      <c r="BS118" s="393"/>
      <c r="BT118" s="393"/>
      <c r="BU118" s="393"/>
      <c r="BV118" s="395"/>
      <c r="BW118" s="395"/>
      <c r="BX118" s="394"/>
      <c r="BY118" s="394"/>
      <c r="BZ118" s="394"/>
      <c r="CA118" s="395"/>
      <c r="CB118" s="395"/>
      <c r="CC118" s="395"/>
      <c r="CD118" s="394"/>
      <c r="CE118" s="394"/>
      <c r="CF118" s="395"/>
      <c r="CG118" s="395"/>
      <c r="CH118" s="395"/>
      <c r="CI118" s="394"/>
      <c r="CJ118" s="394"/>
      <c r="CK118" s="395"/>
      <c r="CL118" s="395"/>
      <c r="CM118" s="395"/>
      <c r="CN118" s="394"/>
      <c r="CO118" s="395"/>
      <c r="CP118" s="395"/>
      <c r="CQ118" s="395"/>
      <c r="CR118" s="394"/>
      <c r="CS118" s="394"/>
      <c r="CT118" s="395"/>
      <c r="CU118" s="395"/>
      <c r="CV118" s="395"/>
      <c r="CW118" s="395"/>
      <c r="CX118" s="394"/>
      <c r="CY118" s="395"/>
      <c r="CZ118" s="395"/>
      <c r="DA118" s="395"/>
      <c r="DB118" s="395"/>
      <c r="DC118" s="394"/>
      <c r="DD118" s="394"/>
      <c r="DE118" s="395"/>
      <c r="DF118" s="395"/>
      <c r="DG118" s="395"/>
      <c r="DH118" s="394"/>
      <c r="DI118" s="394"/>
      <c r="DJ118" s="394"/>
      <c r="DK118" s="395"/>
      <c r="DL118" s="395"/>
      <c r="DM118" s="394"/>
      <c r="DN118" s="394"/>
      <c r="DO118" s="395"/>
      <c r="DP118" s="395"/>
      <c r="DQ118" s="395"/>
      <c r="DR118" s="394"/>
      <c r="DS118" s="395"/>
      <c r="DT118" s="395"/>
      <c r="DU118" s="395"/>
      <c r="DV118" s="395"/>
      <c r="DW118" s="395"/>
      <c r="DX118" s="394"/>
      <c r="DY118" s="394"/>
      <c r="DZ118" s="394"/>
      <c r="EA118" s="395"/>
      <c r="EB118" s="395"/>
      <c r="EC118" s="394"/>
      <c r="ED118" s="394"/>
      <c r="EE118" s="394"/>
      <c r="EF118" s="394"/>
      <c r="EG118" s="354"/>
      <c r="EH118" s="359"/>
      <c r="EI118" s="359"/>
      <c r="EJ118" s="362"/>
      <c r="EK118" s="362"/>
      <c r="EL118" s="362"/>
      <c r="EM118" s="362"/>
      <c r="EN118" s="362"/>
      <c r="EO118" s="362"/>
      <c r="EP118" s="359"/>
      <c r="EQ118" s="359"/>
      <c r="ER118" s="355"/>
      <c r="ES118" s="361"/>
      <c r="ET118" s="359"/>
      <c r="EU118" s="359"/>
      <c r="EV118" s="361"/>
      <c r="EW118" s="362"/>
      <c r="EX118" s="359"/>
      <c r="EY118" s="359"/>
      <c r="EZ118" s="359"/>
      <c r="FA118" s="359"/>
      <c r="FB118" s="361"/>
      <c r="FC118" s="358"/>
      <c r="FD118" s="359"/>
      <c r="FE118" s="357"/>
      <c r="FF118" s="362"/>
      <c r="FG118" s="362"/>
      <c r="FH118" s="357"/>
      <c r="FI118" s="357"/>
      <c r="FJ118" s="359"/>
      <c r="FK118" s="362"/>
      <c r="FL118" s="362"/>
      <c r="FM118" s="358"/>
      <c r="FN118" s="355"/>
      <c r="FO118" s="359"/>
      <c r="FP118" s="359"/>
      <c r="FQ118" s="354"/>
      <c r="FR118" s="357"/>
      <c r="FS118" s="355"/>
      <c r="FT118" s="355"/>
      <c r="FU118" s="356"/>
      <c r="FV118" s="364"/>
      <c r="FW118" s="360"/>
      <c r="FX118" s="385"/>
      <c r="FY118" s="357"/>
      <c r="FZ118" s="357"/>
      <c r="GA118" s="355"/>
      <c r="GB118" s="362"/>
      <c r="GC118" s="355"/>
      <c r="GD118" s="355"/>
      <c r="GE118" s="361"/>
      <c r="GF118" s="361"/>
      <c r="GG118" s="360"/>
      <c r="GH118" s="367"/>
      <c r="GI118" s="367"/>
      <c r="GJ118" s="367"/>
      <c r="GK118" s="361"/>
      <c r="GL118" s="359"/>
      <c r="GM118" s="357"/>
      <c r="GN118" s="367"/>
      <c r="GO118" s="367"/>
      <c r="GP118" s="364"/>
      <c r="GQ118" s="364"/>
      <c r="GR118" s="356"/>
    </row>
    <row r="119" spans="1:200" ht="13.5" customHeight="1" x14ac:dyDescent="0.2">
      <c r="A119" s="357"/>
      <c r="B119" s="357"/>
      <c r="C119" s="357"/>
      <c r="D119" s="357"/>
      <c r="E119" s="357"/>
      <c r="F119" s="359"/>
      <c r="G119" s="361"/>
      <c r="H119" s="355"/>
      <c r="I119" s="361"/>
      <c r="J119" s="361"/>
      <c r="K119" s="362"/>
      <c r="L119" s="362"/>
      <c r="M119" s="361"/>
      <c r="N119" s="361"/>
      <c r="O119" s="362"/>
      <c r="P119" s="361"/>
      <c r="Q119" s="360"/>
      <c r="R119" s="364"/>
      <c r="S119" s="364"/>
      <c r="T119" s="361"/>
      <c r="U119" s="361"/>
      <c r="V119" s="362"/>
      <c r="W119" s="362"/>
      <c r="X119" s="362"/>
      <c r="Y119" s="361"/>
      <c r="Z119" s="361"/>
      <c r="AA119" s="361"/>
      <c r="AB119" s="361"/>
      <c r="AC119" s="361"/>
      <c r="AD119" s="357"/>
      <c r="AE119" s="380"/>
      <c r="AF119" s="354"/>
      <c r="AG119" s="354"/>
      <c r="AH119" s="380"/>
      <c r="AI119" s="357"/>
      <c r="AJ119" s="380"/>
      <c r="AK119" s="354"/>
      <c r="AL119" s="354"/>
      <c r="AM119" s="354"/>
      <c r="AN119" s="354"/>
      <c r="AO119" s="354"/>
      <c r="AP119" s="354"/>
      <c r="AQ119" s="380"/>
      <c r="AR119" s="354"/>
      <c r="AS119" s="357"/>
      <c r="AT119" s="354"/>
      <c r="AU119" s="357"/>
      <c r="AV119" s="357"/>
      <c r="AW119" s="357"/>
      <c r="AX119" s="354"/>
      <c r="AY119" s="354"/>
      <c r="AZ119" s="354"/>
      <c r="BA119" s="357"/>
      <c r="BB119" s="354"/>
      <c r="BC119" s="354"/>
      <c r="BD119" s="354"/>
      <c r="BE119" s="354"/>
      <c r="BF119" s="390"/>
      <c r="BG119" s="380"/>
      <c r="BH119" s="357"/>
      <c r="BI119" s="354"/>
      <c r="BJ119" s="354"/>
      <c r="BK119" s="354"/>
      <c r="BL119" s="357"/>
      <c r="BM119" s="354"/>
      <c r="BN119" s="354"/>
      <c r="BO119" s="354"/>
      <c r="BP119" s="354"/>
      <c r="BQ119" s="393"/>
      <c r="BR119" s="393"/>
      <c r="BS119" s="393"/>
      <c r="BT119" s="393"/>
      <c r="BU119" s="393"/>
      <c r="BV119" s="395"/>
      <c r="BW119" s="394"/>
      <c r="BX119" s="394"/>
      <c r="BY119" s="394"/>
      <c r="BZ119" s="394"/>
      <c r="CA119" s="395"/>
      <c r="CB119" s="395"/>
      <c r="CC119" s="394"/>
      <c r="CD119" s="394"/>
      <c r="CE119" s="394"/>
      <c r="CF119" s="395"/>
      <c r="CG119" s="395"/>
      <c r="CH119" s="394"/>
      <c r="CI119" s="394"/>
      <c r="CJ119" s="394"/>
      <c r="CK119" s="395"/>
      <c r="CL119" s="395"/>
      <c r="CM119" s="394"/>
      <c r="CN119" s="394"/>
      <c r="CO119" s="395"/>
      <c r="CP119" s="395"/>
      <c r="CQ119" s="395"/>
      <c r="CR119" s="394"/>
      <c r="CS119" s="394"/>
      <c r="CT119" s="394"/>
      <c r="CU119" s="395"/>
      <c r="CV119" s="395"/>
      <c r="CW119" s="394"/>
      <c r="CX119" s="394"/>
      <c r="CY119" s="395"/>
      <c r="CZ119" s="395"/>
      <c r="DA119" s="395"/>
      <c r="DB119" s="394"/>
      <c r="DC119" s="394"/>
      <c r="DD119" s="394"/>
      <c r="DE119" s="395"/>
      <c r="DF119" s="395"/>
      <c r="DG119" s="394"/>
      <c r="DH119" s="394"/>
      <c r="DI119" s="394"/>
      <c r="DJ119" s="394"/>
      <c r="DK119" s="394"/>
      <c r="DL119" s="394"/>
      <c r="DM119" s="394"/>
      <c r="DN119" s="394"/>
      <c r="DO119" s="395"/>
      <c r="DP119" s="395"/>
      <c r="DQ119" s="395"/>
      <c r="DR119" s="394"/>
      <c r="DS119" s="394"/>
      <c r="DT119" s="395"/>
      <c r="DU119" s="395"/>
      <c r="DV119" s="395"/>
      <c r="DW119" s="394"/>
      <c r="DX119" s="394"/>
      <c r="DY119" s="394"/>
      <c r="DZ119" s="394"/>
      <c r="EA119" s="394"/>
      <c r="EB119" s="395"/>
      <c r="EC119" s="394"/>
      <c r="ED119" s="394"/>
      <c r="EE119" s="394"/>
      <c r="EF119" s="394"/>
      <c r="EG119" s="354"/>
      <c r="EH119" s="359"/>
      <c r="EI119" s="362"/>
      <c r="EJ119" s="359"/>
      <c r="EK119" s="359"/>
      <c r="EL119" s="362"/>
      <c r="EM119" s="361"/>
      <c r="EN119" s="362"/>
      <c r="EO119" s="359"/>
      <c r="EP119" s="359"/>
      <c r="EQ119" s="357"/>
      <c r="ER119" s="355"/>
      <c r="ES119" s="359"/>
      <c r="ET119" s="361"/>
      <c r="EU119" s="361"/>
      <c r="EV119" s="358"/>
      <c r="EW119" s="362"/>
      <c r="EX119" s="362"/>
      <c r="EY119" s="355"/>
      <c r="EZ119" s="357"/>
      <c r="FA119" s="358"/>
      <c r="FB119" s="362"/>
      <c r="FC119" s="362"/>
      <c r="FD119" s="355"/>
      <c r="FE119" s="362"/>
      <c r="FF119" s="362"/>
      <c r="FG119" s="361"/>
      <c r="FH119" s="387"/>
      <c r="FI119" s="355"/>
      <c r="FJ119" s="355"/>
      <c r="FK119" s="357"/>
      <c r="FL119" s="359"/>
      <c r="FM119" s="361"/>
      <c r="FN119" s="357"/>
      <c r="FO119" s="357"/>
      <c r="FP119" s="355"/>
      <c r="FQ119" s="355"/>
      <c r="FR119" s="367"/>
      <c r="FS119" s="357"/>
      <c r="FT119" s="361"/>
      <c r="FU119" s="357"/>
      <c r="FV119" s="364"/>
      <c r="FW119" s="364"/>
      <c r="FX119" s="357"/>
      <c r="FY119" s="390"/>
      <c r="FZ119" s="364"/>
      <c r="GA119" s="355"/>
      <c r="GB119" s="390"/>
      <c r="GC119" s="390"/>
      <c r="GD119" s="355"/>
      <c r="GE119" s="360"/>
      <c r="GF119" s="364"/>
      <c r="GG119" s="363"/>
      <c r="GH119" s="363"/>
      <c r="GI119" s="363"/>
      <c r="GJ119" s="363"/>
      <c r="GK119" s="356"/>
      <c r="GL119" s="390"/>
      <c r="GM119" s="367"/>
      <c r="GN119" s="367"/>
      <c r="GO119" s="356"/>
      <c r="GP119" s="356"/>
      <c r="GQ119" s="367"/>
      <c r="GR119" s="367"/>
    </row>
    <row r="120" spans="1:200" ht="13.5" customHeight="1" x14ac:dyDescent="0.2">
      <c r="A120" s="357"/>
      <c r="B120" s="357"/>
      <c r="C120" s="357"/>
      <c r="D120" s="359"/>
      <c r="E120" s="357"/>
      <c r="F120" s="357"/>
      <c r="G120" s="359"/>
      <c r="H120" s="359"/>
      <c r="I120" s="358"/>
      <c r="J120" s="362"/>
      <c r="K120" s="362"/>
      <c r="L120" s="362"/>
      <c r="M120" s="362"/>
      <c r="N120" s="362"/>
      <c r="O120" s="362"/>
      <c r="P120" s="361"/>
      <c r="Q120" s="362"/>
      <c r="R120" s="359"/>
      <c r="S120" s="362"/>
      <c r="T120" s="362"/>
      <c r="U120" s="362"/>
      <c r="V120" s="362"/>
      <c r="W120" s="362"/>
      <c r="X120" s="362"/>
      <c r="Y120" s="362"/>
      <c r="Z120" s="362"/>
      <c r="AA120" s="362"/>
      <c r="AB120" s="362"/>
      <c r="AC120" s="362"/>
      <c r="AD120" s="359"/>
      <c r="AE120" s="380"/>
      <c r="AF120" s="354"/>
      <c r="AG120" s="354"/>
      <c r="AH120" s="380"/>
      <c r="AI120" s="357"/>
      <c r="AJ120" s="380"/>
      <c r="AK120" s="354"/>
      <c r="AL120" s="357"/>
      <c r="AM120" s="354"/>
      <c r="AN120" s="354"/>
      <c r="AO120" s="357"/>
      <c r="AP120" s="354"/>
      <c r="AQ120" s="380"/>
      <c r="AR120" s="380"/>
      <c r="AS120" s="357"/>
      <c r="AT120" s="354"/>
      <c r="AU120" s="354"/>
      <c r="AV120" s="357"/>
      <c r="AW120" s="357"/>
      <c r="AX120" s="354"/>
      <c r="AY120" s="390"/>
      <c r="AZ120" s="354"/>
      <c r="BA120" s="354"/>
      <c r="BB120" s="354"/>
      <c r="BC120" s="354"/>
      <c r="BD120" s="354"/>
      <c r="BE120" s="354"/>
      <c r="BF120" s="380"/>
      <c r="BG120" s="354"/>
      <c r="BH120" s="380"/>
      <c r="BI120" s="380"/>
      <c r="BJ120" s="354"/>
      <c r="BK120" s="354"/>
      <c r="BL120" s="357"/>
      <c r="BM120" s="357"/>
      <c r="BN120" s="354"/>
      <c r="BO120" s="354"/>
      <c r="BP120" s="354"/>
      <c r="BQ120" s="393"/>
      <c r="BR120" s="393"/>
      <c r="BS120" s="393"/>
      <c r="BT120" s="393"/>
      <c r="BU120" s="393"/>
      <c r="BV120" s="393"/>
      <c r="BW120" s="394"/>
      <c r="BX120" s="394"/>
      <c r="BY120" s="394"/>
      <c r="BZ120" s="394"/>
      <c r="CA120" s="394"/>
      <c r="CB120" s="394"/>
      <c r="CC120" s="394"/>
      <c r="CD120" s="394"/>
      <c r="CE120" s="394"/>
      <c r="CF120" s="395"/>
      <c r="CG120" s="394"/>
      <c r="CH120" s="394"/>
      <c r="CI120" s="394"/>
      <c r="CJ120" s="394"/>
      <c r="CK120" s="394"/>
      <c r="CL120" s="394"/>
      <c r="CM120" s="394"/>
      <c r="CN120" s="394"/>
      <c r="CO120" s="394"/>
      <c r="CP120" s="394"/>
      <c r="CQ120" s="394"/>
      <c r="CR120" s="394"/>
      <c r="CS120" s="394"/>
      <c r="CT120" s="394"/>
      <c r="CU120" s="394"/>
      <c r="CV120" s="394"/>
      <c r="CW120" s="394"/>
      <c r="CX120" s="394"/>
      <c r="CY120" s="395"/>
      <c r="CZ120" s="395"/>
      <c r="DA120" s="394"/>
      <c r="DB120" s="394"/>
      <c r="DC120" s="394"/>
      <c r="DD120" s="394"/>
      <c r="DE120" s="394"/>
      <c r="DF120" s="394"/>
      <c r="DG120" s="394"/>
      <c r="DH120" s="394"/>
      <c r="DI120" s="394"/>
      <c r="DJ120" s="394"/>
      <c r="DK120" s="394"/>
      <c r="DL120" s="394"/>
      <c r="DM120" s="394"/>
      <c r="DN120" s="394"/>
      <c r="DO120" s="394"/>
      <c r="DP120" s="394"/>
      <c r="DQ120" s="394"/>
      <c r="DR120" s="394"/>
      <c r="DS120" s="394"/>
      <c r="DT120" s="394"/>
      <c r="DU120" s="394"/>
      <c r="DV120" s="394"/>
      <c r="DW120" s="394"/>
      <c r="DX120" s="394"/>
      <c r="DY120" s="394"/>
      <c r="DZ120" s="394"/>
      <c r="EA120" s="394"/>
      <c r="EB120" s="394"/>
      <c r="EC120" s="394"/>
      <c r="ED120" s="394"/>
      <c r="EE120" s="394"/>
      <c r="EF120" s="394"/>
      <c r="EG120" s="354"/>
      <c r="EH120" s="359"/>
      <c r="EI120" s="359"/>
      <c r="EJ120" s="359"/>
      <c r="EK120" s="362"/>
      <c r="EL120" s="362"/>
      <c r="EM120" s="362"/>
      <c r="EN120" s="359"/>
      <c r="EO120" s="357"/>
      <c r="EP120" s="357"/>
      <c r="EQ120" s="357"/>
      <c r="ER120" s="387"/>
      <c r="ES120" s="358"/>
      <c r="ET120" s="359"/>
      <c r="EU120" s="359"/>
      <c r="EV120" s="359"/>
      <c r="EW120" s="357"/>
      <c r="EX120" s="355"/>
      <c r="EY120" s="361"/>
      <c r="EZ120" s="357"/>
      <c r="FA120" s="390"/>
      <c r="FB120" s="362"/>
      <c r="FC120" s="361"/>
      <c r="FD120" s="355"/>
      <c r="FE120" s="358"/>
      <c r="FF120" s="361"/>
      <c r="FG120" s="357"/>
      <c r="FH120" s="355"/>
      <c r="FI120" s="355"/>
      <c r="FJ120" s="357"/>
      <c r="FK120" s="359"/>
      <c r="FL120" s="355"/>
      <c r="FM120" s="359"/>
      <c r="FN120" s="357"/>
      <c r="FO120" s="355"/>
      <c r="FP120" s="390"/>
      <c r="FQ120" s="361"/>
      <c r="FR120" s="359"/>
      <c r="FS120" s="355"/>
      <c r="FT120" s="355"/>
      <c r="FU120" s="357"/>
      <c r="FV120" s="357"/>
      <c r="FW120" s="361"/>
      <c r="FX120" s="362"/>
      <c r="FY120" s="356"/>
      <c r="FZ120" s="361"/>
      <c r="GA120" s="362"/>
      <c r="GB120" s="387"/>
      <c r="GC120" s="390"/>
      <c r="GD120" s="355"/>
      <c r="GE120" s="360"/>
      <c r="GF120" s="363"/>
      <c r="GG120" s="363"/>
      <c r="GH120" s="363"/>
      <c r="GI120" s="367"/>
      <c r="GJ120" s="355"/>
      <c r="GK120" s="356"/>
      <c r="GL120" s="356"/>
      <c r="GM120" s="356"/>
      <c r="GN120" s="356"/>
      <c r="GO120" s="367"/>
      <c r="GP120" s="355"/>
      <c r="GQ120" s="356"/>
      <c r="GR120" s="367"/>
    </row>
    <row r="121" spans="1:200" ht="13.5" customHeight="1" x14ac:dyDescent="0.2">
      <c r="A121" s="357"/>
      <c r="B121" s="357"/>
      <c r="C121" s="357"/>
      <c r="D121" s="357"/>
      <c r="E121" s="357"/>
      <c r="F121" s="357"/>
      <c r="G121" s="357"/>
      <c r="H121" s="359"/>
      <c r="I121" s="359"/>
      <c r="J121" s="362"/>
      <c r="K121" s="362"/>
      <c r="L121" s="362"/>
      <c r="M121" s="362"/>
      <c r="N121" s="362"/>
      <c r="O121" s="362"/>
      <c r="P121" s="362"/>
      <c r="Q121" s="362"/>
      <c r="R121" s="362"/>
      <c r="S121" s="362"/>
      <c r="T121" s="362"/>
      <c r="U121" s="362"/>
      <c r="V121" s="362"/>
      <c r="W121" s="362"/>
      <c r="X121" s="362"/>
      <c r="Y121" s="362"/>
      <c r="Z121" s="362"/>
      <c r="AA121" s="362"/>
      <c r="AB121" s="359"/>
      <c r="AC121" s="358"/>
      <c r="AD121" s="390"/>
      <c r="AE121" s="380"/>
      <c r="AF121" s="354"/>
      <c r="AG121" s="354"/>
      <c r="AH121" s="380"/>
      <c r="AI121" s="380"/>
      <c r="AJ121" s="380"/>
      <c r="AK121" s="354"/>
      <c r="AL121" s="354"/>
      <c r="AM121" s="354"/>
      <c r="AN121" s="357"/>
      <c r="AO121" s="354"/>
      <c r="AP121" s="354"/>
      <c r="AQ121" s="380"/>
      <c r="AR121" s="380"/>
      <c r="AS121" s="354"/>
      <c r="AT121" s="354"/>
      <c r="AU121" s="354"/>
      <c r="AV121" s="357"/>
      <c r="AW121" s="357"/>
      <c r="AX121" s="357"/>
      <c r="AY121" s="380"/>
      <c r="AZ121" s="354"/>
      <c r="BA121" s="354"/>
      <c r="BB121" s="354"/>
      <c r="BC121" s="354"/>
      <c r="BD121" s="354"/>
      <c r="BE121" s="354"/>
      <c r="BF121" s="380"/>
      <c r="BG121" s="354"/>
      <c r="BH121" s="354"/>
      <c r="BI121" s="380"/>
      <c r="BJ121" s="354"/>
      <c r="BK121" s="357"/>
      <c r="BL121" s="354"/>
      <c r="BM121" s="357"/>
      <c r="BN121" s="354"/>
      <c r="BO121" s="354"/>
      <c r="BP121" s="354"/>
      <c r="BQ121" s="393"/>
      <c r="BR121" s="393"/>
      <c r="BS121" s="393"/>
      <c r="BT121" s="393"/>
      <c r="BU121" s="393"/>
      <c r="BV121" s="393"/>
      <c r="BW121" s="394"/>
      <c r="BX121" s="394"/>
      <c r="BY121" s="394"/>
      <c r="BZ121" s="394"/>
      <c r="CA121" s="394"/>
      <c r="CB121" s="394"/>
      <c r="CC121" s="394"/>
      <c r="CD121" s="394"/>
      <c r="CE121" s="394"/>
      <c r="CF121" s="394"/>
      <c r="CG121" s="394"/>
      <c r="CH121" s="394"/>
      <c r="CI121" s="394"/>
      <c r="CJ121" s="394"/>
      <c r="CK121" s="394"/>
      <c r="CL121" s="394"/>
      <c r="CM121" s="394"/>
      <c r="CN121" s="394"/>
      <c r="CO121" s="394"/>
      <c r="CP121" s="394"/>
      <c r="CQ121" s="394"/>
      <c r="CR121" s="394"/>
      <c r="CS121" s="394"/>
      <c r="CT121" s="394"/>
      <c r="CU121" s="394"/>
      <c r="CV121" s="394"/>
      <c r="CW121" s="394"/>
      <c r="CX121" s="394"/>
      <c r="CY121" s="394"/>
      <c r="CZ121" s="394"/>
      <c r="DA121" s="394"/>
      <c r="DB121" s="394"/>
      <c r="DC121" s="394"/>
      <c r="DD121" s="394"/>
      <c r="DE121" s="394"/>
      <c r="DF121" s="394"/>
      <c r="DG121" s="394"/>
      <c r="DH121" s="394"/>
      <c r="DI121" s="394"/>
      <c r="DJ121" s="394"/>
      <c r="DK121" s="394"/>
      <c r="DL121" s="394"/>
      <c r="DM121" s="394"/>
      <c r="DN121" s="394"/>
      <c r="DO121" s="394"/>
      <c r="DP121" s="394"/>
      <c r="DQ121" s="394"/>
      <c r="DR121" s="394"/>
      <c r="DS121" s="394"/>
      <c r="DT121" s="394"/>
      <c r="DU121" s="394"/>
      <c r="DV121" s="394"/>
      <c r="DW121" s="394"/>
      <c r="DX121" s="394"/>
      <c r="DY121" s="394"/>
      <c r="DZ121" s="394"/>
      <c r="EA121" s="394"/>
      <c r="EB121" s="394"/>
      <c r="EC121" s="394"/>
      <c r="ED121" s="394"/>
      <c r="EE121" s="394"/>
      <c r="EF121" s="394"/>
      <c r="EG121" s="354"/>
      <c r="EH121" s="359"/>
      <c r="EI121" s="358"/>
      <c r="EJ121" s="362"/>
      <c r="EK121" s="362"/>
      <c r="EL121" s="358"/>
      <c r="EM121" s="358"/>
      <c r="EN121" s="357"/>
      <c r="EO121" s="359"/>
      <c r="EP121" s="357"/>
      <c r="EQ121" s="357"/>
      <c r="ER121" s="357"/>
      <c r="ES121" s="359"/>
      <c r="ET121" s="387"/>
      <c r="EU121" s="357"/>
      <c r="EV121" s="387"/>
      <c r="EW121" s="355"/>
      <c r="EX121" s="387"/>
      <c r="EY121" s="387"/>
      <c r="EZ121" s="357"/>
      <c r="FA121" s="355"/>
      <c r="FB121" s="357"/>
      <c r="FC121" s="355"/>
      <c r="FD121" s="387"/>
      <c r="FE121" s="358"/>
      <c r="FF121" s="357"/>
      <c r="FG121" s="357"/>
      <c r="FH121" s="358"/>
      <c r="FI121" s="362"/>
      <c r="FJ121" s="357"/>
      <c r="FK121" s="362"/>
      <c r="FL121" s="359"/>
      <c r="FM121" s="357"/>
      <c r="FN121" s="355"/>
      <c r="FO121" s="357"/>
      <c r="FP121" s="361"/>
      <c r="FQ121" s="362"/>
      <c r="FR121" s="358"/>
      <c r="FS121" s="387"/>
      <c r="FT121" s="357"/>
      <c r="FU121" s="357"/>
      <c r="FV121" s="357"/>
      <c r="FW121" s="360"/>
      <c r="FX121" s="362"/>
      <c r="FY121" s="355"/>
      <c r="FZ121" s="355"/>
      <c r="GA121" s="362"/>
      <c r="GB121" s="361"/>
      <c r="GC121" s="357"/>
      <c r="GD121" s="355"/>
      <c r="GE121" s="367"/>
      <c r="GF121" s="363"/>
      <c r="GG121" s="367"/>
      <c r="GH121" s="355"/>
      <c r="GI121" s="356"/>
      <c r="GJ121" s="356"/>
      <c r="GK121" s="355"/>
      <c r="GL121" s="355"/>
      <c r="GM121" s="356"/>
      <c r="GN121" s="356"/>
      <c r="GO121" s="363"/>
      <c r="GP121" s="356"/>
      <c r="GQ121" s="356"/>
      <c r="GR121" s="356"/>
    </row>
    <row r="122" spans="1:200" ht="13.5" customHeight="1" x14ac:dyDescent="0.2">
      <c r="A122" s="359"/>
      <c r="B122" s="357"/>
      <c r="C122" s="359"/>
      <c r="D122" s="390"/>
      <c r="E122" s="354"/>
      <c r="F122" s="354"/>
      <c r="G122" s="357"/>
      <c r="H122" s="357"/>
      <c r="I122" s="359"/>
      <c r="J122" s="362"/>
      <c r="K122" s="362"/>
      <c r="L122" s="362"/>
      <c r="M122" s="362"/>
      <c r="N122" s="362"/>
      <c r="O122" s="362"/>
      <c r="P122" s="362"/>
      <c r="Q122" s="362"/>
      <c r="R122" s="362"/>
      <c r="S122" s="362"/>
      <c r="T122" s="362"/>
      <c r="U122" s="362"/>
      <c r="V122" s="362"/>
      <c r="W122" s="362"/>
      <c r="X122" s="362"/>
      <c r="Y122" s="354"/>
      <c r="Z122" s="354"/>
      <c r="AA122" s="357"/>
      <c r="AB122" s="357"/>
      <c r="AC122" s="357"/>
      <c r="AD122" s="390"/>
      <c r="AE122" s="357"/>
      <c r="AF122" s="354"/>
      <c r="AG122" s="354"/>
      <c r="AH122" s="380"/>
      <c r="AI122" s="380"/>
      <c r="AJ122" s="380"/>
      <c r="AK122" s="354"/>
      <c r="AL122" s="354"/>
      <c r="AM122" s="354"/>
      <c r="AN122" s="354"/>
      <c r="AO122" s="354"/>
      <c r="AP122" s="354"/>
      <c r="AQ122" s="380"/>
      <c r="AR122" s="380"/>
      <c r="AS122" s="354"/>
      <c r="AT122" s="354"/>
      <c r="AU122" s="354"/>
      <c r="AV122" s="357"/>
      <c r="AW122" s="357"/>
      <c r="AX122" s="357"/>
      <c r="AY122" s="380"/>
      <c r="AZ122" s="354"/>
      <c r="BA122" s="354"/>
      <c r="BB122" s="354"/>
      <c r="BC122" s="354"/>
      <c r="BD122" s="354"/>
      <c r="BE122" s="354"/>
      <c r="BF122" s="354"/>
      <c r="BG122" s="357"/>
      <c r="BH122" s="354"/>
      <c r="BI122" s="380"/>
      <c r="BJ122" s="354"/>
      <c r="BK122" s="354"/>
      <c r="BL122" s="357"/>
      <c r="BM122" s="357"/>
      <c r="BN122" s="380"/>
      <c r="BO122" s="354"/>
      <c r="BP122" s="354"/>
      <c r="BQ122" s="393"/>
      <c r="BR122" s="393"/>
      <c r="BS122" s="393"/>
      <c r="BT122" s="393"/>
      <c r="BU122" s="393"/>
      <c r="BV122" s="393"/>
      <c r="BW122" s="394"/>
      <c r="BX122" s="394"/>
      <c r="BY122" s="394"/>
      <c r="BZ122" s="394"/>
      <c r="CA122" s="394"/>
      <c r="CB122" s="394"/>
      <c r="CC122" s="394"/>
      <c r="CD122" s="394"/>
      <c r="CE122" s="394"/>
      <c r="CF122" s="394"/>
      <c r="CG122" s="394"/>
      <c r="CH122" s="394"/>
      <c r="CI122" s="394"/>
      <c r="CJ122" s="394"/>
      <c r="CK122" s="394"/>
      <c r="CL122" s="394"/>
      <c r="CM122" s="394"/>
      <c r="CN122" s="394"/>
      <c r="CO122" s="394"/>
      <c r="CP122" s="394"/>
      <c r="CQ122" s="394"/>
      <c r="CR122" s="394"/>
      <c r="CS122" s="394"/>
      <c r="CT122" s="394"/>
      <c r="CU122" s="394"/>
      <c r="CV122" s="394"/>
      <c r="CW122" s="394"/>
      <c r="CX122" s="394"/>
      <c r="CY122" s="394"/>
      <c r="CZ122" s="394"/>
      <c r="DA122" s="394"/>
      <c r="DB122" s="394"/>
      <c r="DC122" s="394"/>
      <c r="DD122" s="394"/>
      <c r="DE122" s="394"/>
      <c r="DF122" s="394"/>
      <c r="DG122" s="394"/>
      <c r="DH122" s="394"/>
      <c r="DI122" s="394"/>
      <c r="DJ122" s="394"/>
      <c r="DK122" s="394"/>
      <c r="DL122" s="394"/>
      <c r="DM122" s="394"/>
      <c r="DN122" s="394"/>
      <c r="DO122" s="394"/>
      <c r="DP122" s="394"/>
      <c r="DQ122" s="394"/>
      <c r="DR122" s="394"/>
      <c r="DS122" s="394"/>
      <c r="DT122" s="394"/>
      <c r="DU122" s="394"/>
      <c r="DV122" s="394"/>
      <c r="DW122" s="394"/>
      <c r="DX122" s="394"/>
      <c r="DY122" s="394"/>
      <c r="DZ122" s="394"/>
      <c r="EA122" s="394"/>
      <c r="EB122" s="394"/>
      <c r="EC122" s="394"/>
      <c r="ED122" s="394"/>
      <c r="EE122" s="394"/>
      <c r="EF122" s="394"/>
      <c r="EG122" s="396"/>
      <c r="EH122" s="354"/>
      <c r="EI122" s="359"/>
      <c r="EJ122" s="359"/>
      <c r="EK122" s="359"/>
      <c r="EL122" s="356"/>
      <c r="EM122" s="356"/>
      <c r="EN122" s="357"/>
      <c r="EO122" s="357"/>
      <c r="EP122" s="357"/>
      <c r="EQ122" s="357"/>
      <c r="ER122" s="359"/>
      <c r="ES122" s="357"/>
      <c r="ET122" s="387"/>
      <c r="EU122" s="390"/>
      <c r="EV122" s="367"/>
      <c r="EW122" s="367"/>
      <c r="EX122" s="387"/>
      <c r="EY122" s="387"/>
      <c r="EZ122" s="354"/>
      <c r="FA122" s="357"/>
      <c r="FB122" s="357"/>
      <c r="FC122" s="357"/>
      <c r="FD122" s="357"/>
      <c r="FE122" s="357"/>
      <c r="FF122" s="357"/>
      <c r="FG122" s="357"/>
      <c r="FH122" s="357"/>
      <c r="FI122" s="359"/>
      <c r="FJ122" s="387"/>
      <c r="FK122" s="362"/>
      <c r="FL122" s="357"/>
      <c r="FM122" s="357"/>
      <c r="FN122" s="362"/>
      <c r="FO122" s="357"/>
      <c r="FP122" s="355"/>
      <c r="FQ122" s="362"/>
      <c r="FR122" s="387"/>
      <c r="FS122" s="357"/>
      <c r="FT122" s="357"/>
      <c r="FU122" s="357"/>
      <c r="FV122" s="356"/>
      <c r="FW122" s="360"/>
      <c r="FX122" s="360"/>
      <c r="FY122" s="387"/>
      <c r="FZ122" s="361"/>
      <c r="GA122" s="362"/>
      <c r="GB122" s="362"/>
      <c r="GC122" s="387"/>
      <c r="GD122" s="387"/>
      <c r="GE122" s="367"/>
      <c r="GF122" s="356"/>
      <c r="GG122" s="356"/>
      <c r="GH122" s="367"/>
      <c r="GI122" s="356"/>
      <c r="GJ122" s="364"/>
      <c r="GK122" s="364"/>
      <c r="GL122" s="364"/>
      <c r="GM122" s="364"/>
      <c r="GN122" s="356"/>
      <c r="GO122" s="367"/>
      <c r="GP122" s="380"/>
      <c r="GQ122" s="390"/>
      <c r="GR122" s="380"/>
    </row>
    <row r="123" spans="1:200" ht="13.5" customHeight="1" x14ac:dyDescent="0.2">
      <c r="A123" s="355"/>
      <c r="B123" s="367"/>
      <c r="C123" s="390"/>
      <c r="D123" s="359"/>
      <c r="E123" s="357"/>
      <c r="F123" s="357"/>
      <c r="G123" s="359"/>
      <c r="H123" s="357"/>
      <c r="I123" s="357"/>
      <c r="J123" s="354"/>
      <c r="K123" s="359"/>
      <c r="L123" s="362"/>
      <c r="M123" s="362"/>
      <c r="N123" s="362"/>
      <c r="O123" s="362"/>
      <c r="P123" s="362"/>
      <c r="Q123" s="362"/>
      <c r="R123" s="362"/>
      <c r="S123" s="362"/>
      <c r="T123" s="362"/>
      <c r="U123" s="358"/>
      <c r="V123" s="354"/>
      <c r="W123" s="354"/>
      <c r="X123" s="354"/>
      <c r="Y123" s="354"/>
      <c r="Z123" s="357"/>
      <c r="AA123" s="357"/>
      <c r="AB123" s="357"/>
      <c r="AC123" s="390"/>
      <c r="AD123" s="357"/>
      <c r="AE123" s="354"/>
      <c r="AF123" s="354"/>
      <c r="AG123" s="354"/>
      <c r="AH123" s="380"/>
      <c r="AI123" s="380"/>
      <c r="AJ123" s="380"/>
      <c r="AK123" s="354"/>
      <c r="AL123" s="354"/>
      <c r="AM123" s="354"/>
      <c r="AN123" s="354"/>
      <c r="AO123" s="354"/>
      <c r="AP123" s="354"/>
      <c r="AQ123" s="354"/>
      <c r="AR123" s="380"/>
      <c r="AS123" s="380"/>
      <c r="AT123" s="354"/>
      <c r="AU123" s="354"/>
      <c r="AV123" s="354"/>
      <c r="AW123" s="357"/>
      <c r="AX123" s="357"/>
      <c r="AY123" s="357"/>
      <c r="AZ123" s="354"/>
      <c r="BA123" s="354"/>
      <c r="BB123" s="357"/>
      <c r="BC123" s="354"/>
      <c r="BD123" s="354"/>
      <c r="BE123" s="354"/>
      <c r="BF123" s="354"/>
      <c r="BG123" s="357"/>
      <c r="BH123" s="354"/>
      <c r="BI123" s="357"/>
      <c r="BJ123" s="380"/>
      <c r="BK123" s="354"/>
      <c r="BL123" s="357"/>
      <c r="BM123" s="357"/>
      <c r="BN123" s="380"/>
      <c r="BO123" s="354"/>
      <c r="BP123" s="354"/>
      <c r="BQ123" s="393"/>
      <c r="BR123" s="393"/>
      <c r="BS123" s="393"/>
      <c r="BT123" s="393"/>
      <c r="BU123" s="393"/>
      <c r="BV123" s="393"/>
      <c r="BW123" s="394"/>
      <c r="BX123" s="394"/>
      <c r="BY123" s="394"/>
      <c r="BZ123" s="394"/>
      <c r="CA123" s="394"/>
      <c r="CB123" s="394"/>
      <c r="CC123" s="394"/>
      <c r="CD123" s="394"/>
      <c r="CE123" s="394"/>
      <c r="CF123" s="394"/>
      <c r="CG123" s="394"/>
      <c r="CH123" s="394"/>
      <c r="CI123" s="394"/>
      <c r="CJ123" s="394"/>
      <c r="CK123" s="394"/>
      <c r="CL123" s="394"/>
      <c r="CM123" s="394"/>
      <c r="CN123" s="394"/>
      <c r="CO123" s="394"/>
      <c r="CP123" s="394"/>
      <c r="CQ123" s="394"/>
      <c r="CR123" s="394"/>
      <c r="CS123" s="394"/>
      <c r="CT123" s="394"/>
      <c r="CU123" s="394"/>
      <c r="CV123" s="394"/>
      <c r="CW123" s="394"/>
      <c r="CX123" s="394"/>
      <c r="CY123" s="394"/>
      <c r="CZ123" s="394"/>
      <c r="DA123" s="394"/>
      <c r="DB123" s="394"/>
      <c r="DC123" s="394"/>
      <c r="DD123" s="394"/>
      <c r="DE123" s="394"/>
      <c r="DF123" s="394"/>
      <c r="DG123" s="394"/>
      <c r="DH123" s="394"/>
      <c r="DI123" s="394"/>
      <c r="DJ123" s="394"/>
      <c r="DK123" s="394"/>
      <c r="DL123" s="394"/>
      <c r="DM123" s="394"/>
      <c r="DN123" s="396"/>
      <c r="DO123" s="396"/>
      <c r="DP123" s="394"/>
      <c r="DQ123" s="394"/>
      <c r="DR123" s="394"/>
      <c r="DS123" s="394"/>
      <c r="DT123" s="394"/>
      <c r="DU123" s="394"/>
      <c r="DV123" s="394"/>
      <c r="DW123" s="394"/>
      <c r="DX123" s="394"/>
      <c r="DY123" s="394"/>
      <c r="DZ123" s="394"/>
      <c r="EA123" s="394"/>
      <c r="EB123" s="394"/>
      <c r="EC123" s="394"/>
      <c r="ED123" s="394"/>
      <c r="EE123" s="394"/>
      <c r="EF123" s="394"/>
      <c r="EG123" s="354"/>
      <c r="EH123" s="354"/>
      <c r="EI123" s="357"/>
      <c r="EJ123" s="357"/>
      <c r="EK123" s="355"/>
      <c r="EL123" s="362"/>
      <c r="EM123" s="362"/>
      <c r="EN123" s="358"/>
      <c r="EO123" s="359"/>
      <c r="EP123" s="357"/>
      <c r="EQ123" s="357"/>
      <c r="ER123" s="359"/>
      <c r="ES123" s="357"/>
      <c r="ET123" s="387"/>
      <c r="EU123" s="390"/>
      <c r="EV123" s="367"/>
      <c r="EW123" s="367"/>
      <c r="EX123" s="390"/>
      <c r="EY123" s="387"/>
      <c r="EZ123" s="367"/>
      <c r="FA123" s="367"/>
      <c r="FB123" s="357"/>
      <c r="FC123" s="354"/>
      <c r="FD123" s="357"/>
      <c r="FE123" s="357"/>
      <c r="FF123" s="357"/>
      <c r="FG123" s="357"/>
      <c r="FH123" s="357"/>
      <c r="FI123" s="357"/>
      <c r="FJ123" s="387"/>
      <c r="FK123" s="387"/>
      <c r="FL123" s="357"/>
      <c r="FM123" s="357"/>
      <c r="FN123" s="387"/>
      <c r="FO123" s="357"/>
      <c r="FP123" s="390"/>
      <c r="FQ123" s="360"/>
      <c r="FR123" s="367"/>
      <c r="FS123" s="356"/>
      <c r="FT123" s="359"/>
      <c r="FU123" s="359"/>
      <c r="FV123" s="359"/>
      <c r="FW123" s="356"/>
      <c r="FX123" s="356"/>
      <c r="FY123" s="367"/>
      <c r="FZ123" s="387"/>
      <c r="GA123" s="367"/>
      <c r="GB123" s="367"/>
      <c r="GC123" s="367"/>
      <c r="GD123" s="356"/>
      <c r="GE123" s="356"/>
      <c r="GF123" s="356"/>
      <c r="GG123" s="358"/>
      <c r="GH123" s="355"/>
      <c r="GI123" s="356"/>
      <c r="GJ123" s="367"/>
      <c r="GK123" s="360"/>
      <c r="GL123" s="355"/>
      <c r="GM123" s="355"/>
      <c r="GN123" s="356"/>
      <c r="GO123" s="356"/>
      <c r="GP123" s="356"/>
      <c r="GQ123" s="356"/>
      <c r="GR123" s="367"/>
    </row>
    <row r="124" spans="1:200" ht="13.5" customHeight="1" x14ac:dyDescent="0.2">
      <c r="A124" s="390"/>
      <c r="B124" s="359"/>
      <c r="C124" s="357"/>
      <c r="D124" s="359"/>
      <c r="E124" s="390"/>
      <c r="F124" s="357"/>
      <c r="G124" s="357"/>
      <c r="H124" s="357"/>
      <c r="I124" s="357"/>
      <c r="J124" s="354"/>
      <c r="K124" s="354"/>
      <c r="L124" s="357"/>
      <c r="M124" s="358"/>
      <c r="N124" s="357"/>
      <c r="O124" s="357"/>
      <c r="P124" s="362"/>
      <c r="Q124" s="358"/>
      <c r="R124" s="362"/>
      <c r="S124" s="357"/>
      <c r="T124" s="357"/>
      <c r="U124" s="357"/>
      <c r="V124" s="354"/>
      <c r="W124" s="359"/>
      <c r="X124" s="357"/>
      <c r="Y124" s="357"/>
      <c r="Z124" s="357"/>
      <c r="AA124" s="357"/>
      <c r="AB124" s="357"/>
      <c r="AC124" s="390"/>
      <c r="AD124" s="357"/>
      <c r="AE124" s="354"/>
      <c r="AF124" s="354"/>
      <c r="AG124" s="354"/>
      <c r="AH124" s="357"/>
      <c r="AI124" s="357"/>
      <c r="AJ124" s="357"/>
      <c r="AK124" s="354"/>
      <c r="AL124" s="354"/>
      <c r="AM124" s="357"/>
      <c r="AN124" s="354"/>
      <c r="AO124" s="354"/>
      <c r="AP124" s="354"/>
      <c r="AQ124" s="354"/>
      <c r="AR124" s="380"/>
      <c r="AS124" s="381"/>
      <c r="AT124" s="354"/>
      <c r="AU124" s="354"/>
      <c r="AV124" s="354"/>
      <c r="AW124" s="354"/>
      <c r="AX124" s="380"/>
      <c r="AY124" s="380"/>
      <c r="AZ124" s="381"/>
      <c r="BA124" s="354"/>
      <c r="BB124" s="357"/>
      <c r="BC124" s="354"/>
      <c r="BD124" s="354"/>
      <c r="BE124" s="354"/>
      <c r="BF124" s="354"/>
      <c r="BG124" s="357"/>
      <c r="BH124" s="354"/>
      <c r="BI124" s="354"/>
      <c r="BJ124" s="357"/>
      <c r="BK124" s="354"/>
      <c r="BL124" s="354"/>
      <c r="BM124" s="357"/>
      <c r="BN124" s="380"/>
      <c r="BO124" s="354"/>
      <c r="BP124" s="354"/>
      <c r="BQ124" s="354"/>
      <c r="BR124" s="354"/>
      <c r="BS124" s="354"/>
      <c r="BT124" s="354"/>
      <c r="BU124" s="354"/>
      <c r="BV124" s="354"/>
      <c r="BW124" s="354"/>
      <c r="BX124" s="354"/>
      <c r="BY124" s="354"/>
      <c r="BZ124" s="354"/>
      <c r="CA124" s="354"/>
      <c r="CB124" s="354"/>
      <c r="CC124" s="354"/>
      <c r="CD124" s="354"/>
      <c r="CE124" s="354"/>
      <c r="CF124" s="354"/>
      <c r="CG124" s="354"/>
      <c r="CH124" s="354"/>
      <c r="CI124" s="354"/>
      <c r="CJ124" s="354"/>
      <c r="CK124" s="354"/>
      <c r="CL124" s="354"/>
      <c r="CM124" s="354"/>
      <c r="CN124" s="354"/>
      <c r="CO124" s="354"/>
      <c r="CP124" s="354"/>
      <c r="CQ124" s="354"/>
      <c r="CR124" s="354"/>
      <c r="CS124" s="354"/>
      <c r="CT124" s="354"/>
      <c r="CU124" s="354"/>
      <c r="CV124" s="354"/>
      <c r="CW124" s="354"/>
      <c r="CX124" s="354"/>
      <c r="CY124" s="354"/>
      <c r="CZ124" s="354"/>
      <c r="DA124" s="354"/>
      <c r="DB124" s="354"/>
      <c r="DC124" s="354"/>
      <c r="DD124" s="354"/>
      <c r="DE124" s="354"/>
      <c r="DF124" s="354"/>
      <c r="DG124" s="354"/>
      <c r="DH124" s="354"/>
      <c r="DI124" s="354"/>
      <c r="DJ124" s="354"/>
      <c r="DK124" s="354"/>
      <c r="DL124" s="354"/>
      <c r="DM124" s="354"/>
      <c r="DN124" s="354"/>
      <c r="DO124" s="354"/>
      <c r="DP124" s="354"/>
      <c r="DQ124" s="354"/>
      <c r="DR124" s="354"/>
      <c r="DS124" s="354"/>
      <c r="DT124" s="354"/>
      <c r="DU124" s="354"/>
      <c r="DV124" s="354"/>
      <c r="DW124" s="354"/>
      <c r="DX124" s="354"/>
      <c r="DY124" s="354"/>
      <c r="DZ124" s="354"/>
      <c r="EA124" s="354"/>
      <c r="EB124" s="354"/>
      <c r="EC124" s="354"/>
      <c r="ED124" s="354"/>
      <c r="EE124" s="354"/>
      <c r="EF124" s="354"/>
      <c r="EG124" s="354"/>
      <c r="EH124" s="354"/>
      <c r="EI124" s="357"/>
      <c r="EJ124" s="355"/>
      <c r="EK124" s="362"/>
      <c r="EL124" s="362"/>
      <c r="EM124" s="362"/>
      <c r="EN124" s="362"/>
      <c r="EO124" s="362"/>
      <c r="EP124" s="362"/>
      <c r="EQ124" s="362"/>
      <c r="ER124" s="359"/>
      <c r="ES124" s="359"/>
      <c r="ET124" s="390"/>
      <c r="EU124" s="367"/>
      <c r="EV124" s="390"/>
      <c r="EW124" s="367"/>
      <c r="EX124" s="380"/>
      <c r="EY124" s="367"/>
      <c r="EZ124" s="367"/>
      <c r="FA124" s="367"/>
      <c r="FB124" s="356"/>
      <c r="FC124" s="356"/>
      <c r="FD124" s="356"/>
      <c r="FE124" s="356"/>
      <c r="FF124" s="356"/>
      <c r="FG124" s="356"/>
      <c r="FH124" s="357"/>
      <c r="FI124" s="357"/>
      <c r="FJ124" s="357"/>
      <c r="FK124" s="356"/>
      <c r="FL124" s="357"/>
      <c r="FM124" s="356"/>
      <c r="FN124" s="355"/>
      <c r="FO124" s="358"/>
      <c r="FP124" s="357"/>
      <c r="FQ124" s="357"/>
      <c r="FR124" s="367"/>
      <c r="FS124" s="356"/>
      <c r="FT124" s="356"/>
      <c r="FU124" s="359"/>
      <c r="FV124" s="362"/>
      <c r="FW124" s="355"/>
      <c r="FX124" s="356"/>
      <c r="FY124" s="356"/>
      <c r="FZ124" s="360"/>
      <c r="GA124" s="356"/>
      <c r="GB124" s="367"/>
      <c r="GC124" s="363"/>
      <c r="GD124" s="356"/>
      <c r="GE124" s="358"/>
      <c r="GF124" s="358"/>
      <c r="GG124" s="360"/>
      <c r="GH124" s="360"/>
      <c r="GI124" s="360"/>
      <c r="GJ124" s="356"/>
      <c r="GK124" s="355"/>
      <c r="GL124" s="367"/>
      <c r="GM124" s="367"/>
      <c r="GN124" s="356"/>
      <c r="GO124" s="355"/>
      <c r="GP124" s="355"/>
      <c r="GQ124" s="356"/>
      <c r="GR124" s="369"/>
    </row>
    <row r="125" spans="1:200" ht="13.5" customHeight="1" x14ac:dyDescent="0.2">
      <c r="A125" s="390"/>
      <c r="B125" s="390"/>
      <c r="C125" s="359"/>
      <c r="D125" s="359"/>
      <c r="E125" s="390"/>
      <c r="F125" s="354"/>
      <c r="G125" s="357"/>
      <c r="H125" s="357"/>
      <c r="I125" s="357"/>
      <c r="J125" s="359"/>
      <c r="K125" s="359"/>
      <c r="L125" s="354"/>
      <c r="M125" s="357"/>
      <c r="N125" s="357"/>
      <c r="O125" s="354"/>
      <c r="P125" s="359"/>
      <c r="Q125" s="359"/>
      <c r="R125" s="357"/>
      <c r="S125" s="357"/>
      <c r="T125" s="357"/>
      <c r="U125" s="359"/>
      <c r="V125" s="357"/>
      <c r="W125" s="357"/>
      <c r="X125" s="357"/>
      <c r="Y125" s="357"/>
      <c r="Z125" s="357"/>
      <c r="AA125" s="357"/>
      <c r="AB125" s="390"/>
      <c r="AC125" s="357"/>
      <c r="AD125" s="357"/>
      <c r="AE125" s="357"/>
      <c r="AF125" s="354"/>
      <c r="AG125" s="354"/>
      <c r="AH125" s="357"/>
      <c r="AI125" s="380"/>
      <c r="AJ125" s="357"/>
      <c r="AK125" s="354"/>
      <c r="AL125" s="354"/>
      <c r="AM125" s="354"/>
      <c r="AN125" s="354"/>
      <c r="AO125" s="354"/>
      <c r="AP125" s="354"/>
      <c r="AQ125" s="354"/>
      <c r="AR125" s="380"/>
      <c r="AS125" s="380"/>
      <c r="AT125" s="354"/>
      <c r="AU125" s="354"/>
      <c r="AV125" s="354"/>
      <c r="AW125" s="354"/>
      <c r="AX125" s="354"/>
      <c r="AY125" s="380"/>
      <c r="AZ125" s="369"/>
      <c r="BA125" s="354"/>
      <c r="BB125" s="354"/>
      <c r="BC125" s="354"/>
      <c r="BD125" s="354"/>
      <c r="BE125" s="354"/>
      <c r="BF125" s="357"/>
      <c r="BG125" s="354"/>
      <c r="BH125" s="357"/>
      <c r="BI125" s="354"/>
      <c r="BJ125" s="357"/>
      <c r="BK125" s="357"/>
      <c r="BL125" s="357"/>
      <c r="BM125" s="357"/>
      <c r="BN125" s="357"/>
      <c r="BO125" s="357"/>
      <c r="BP125" s="354"/>
      <c r="BQ125" s="354"/>
      <c r="BR125" s="354"/>
      <c r="BS125" s="354"/>
      <c r="BT125" s="354"/>
      <c r="BU125" s="394"/>
      <c r="BV125" s="393"/>
      <c r="BW125" s="354"/>
      <c r="BX125" s="354"/>
      <c r="BY125" s="354"/>
      <c r="BZ125" s="354"/>
      <c r="CA125" s="354"/>
      <c r="CB125" s="354"/>
      <c r="CC125" s="393"/>
      <c r="CD125" s="394"/>
      <c r="CE125" s="394"/>
      <c r="CF125" s="394"/>
      <c r="CG125" s="354"/>
      <c r="CH125" s="354"/>
      <c r="CI125" s="394"/>
      <c r="CJ125" s="394"/>
      <c r="CK125" s="394"/>
      <c r="CL125" s="354"/>
      <c r="CM125" s="354"/>
      <c r="CN125" s="394"/>
      <c r="CO125" s="394"/>
      <c r="CP125" s="354"/>
      <c r="CQ125" s="354"/>
      <c r="CR125" s="394"/>
      <c r="CS125" s="394"/>
      <c r="CT125" s="394"/>
      <c r="CU125" s="396"/>
      <c r="CV125" s="396"/>
      <c r="CW125" s="396"/>
      <c r="CX125" s="394"/>
      <c r="CY125" s="394"/>
      <c r="CZ125" s="354"/>
      <c r="DA125" s="354"/>
      <c r="DB125" s="354"/>
      <c r="DC125" s="354"/>
      <c r="DD125" s="394"/>
      <c r="DE125" s="394"/>
      <c r="DF125" s="354"/>
      <c r="DG125" s="354"/>
      <c r="DH125" s="354"/>
      <c r="DI125" s="394"/>
      <c r="DJ125" s="394"/>
      <c r="DK125" s="354"/>
      <c r="DL125" s="354"/>
      <c r="DM125" s="394"/>
      <c r="DN125" s="394"/>
      <c r="DO125" s="394"/>
      <c r="DP125" s="394"/>
      <c r="DQ125" s="354"/>
      <c r="DR125" s="354"/>
      <c r="DS125" s="394"/>
      <c r="DT125" s="394"/>
      <c r="DU125" s="394"/>
      <c r="DV125" s="396"/>
      <c r="DW125" s="354"/>
      <c r="DX125" s="354"/>
      <c r="DY125" s="394"/>
      <c r="DZ125" s="394"/>
      <c r="EA125" s="394"/>
      <c r="EB125" s="396"/>
      <c r="EC125" s="396"/>
      <c r="ED125" s="396"/>
      <c r="EE125" s="394"/>
      <c r="EF125" s="394"/>
      <c r="EG125" s="394"/>
      <c r="EH125" s="354"/>
      <c r="EI125" s="367"/>
      <c r="EJ125" s="359"/>
      <c r="EK125" s="362"/>
      <c r="EL125" s="362"/>
      <c r="EM125" s="362"/>
      <c r="EN125" s="362"/>
      <c r="EO125" s="362"/>
      <c r="EP125" s="362"/>
      <c r="EQ125" s="362"/>
      <c r="ER125" s="362"/>
      <c r="ES125" s="362"/>
      <c r="ET125" s="362"/>
      <c r="EU125" s="362"/>
      <c r="EV125" s="361"/>
      <c r="EW125" s="380"/>
      <c r="EX125" s="380"/>
      <c r="EY125" s="367"/>
      <c r="EZ125" s="363"/>
      <c r="FA125" s="356"/>
      <c r="FB125" s="356"/>
      <c r="FC125" s="364"/>
      <c r="FD125" s="359"/>
      <c r="FE125" s="355"/>
      <c r="FF125" s="355"/>
      <c r="FG125" s="367"/>
      <c r="FH125" s="356"/>
      <c r="FI125" s="356"/>
      <c r="FJ125" s="356"/>
      <c r="FK125" s="367"/>
      <c r="FL125" s="367"/>
      <c r="FM125" s="359"/>
      <c r="FN125" s="358"/>
      <c r="FO125" s="358"/>
      <c r="FP125" s="358"/>
      <c r="FQ125" s="358"/>
      <c r="FR125" s="363"/>
      <c r="FS125" s="367"/>
      <c r="FT125" s="367"/>
      <c r="FU125" s="355"/>
      <c r="FV125" s="358"/>
      <c r="FW125" s="358"/>
      <c r="FX125" s="359"/>
      <c r="FY125" s="355"/>
      <c r="FZ125" s="356"/>
      <c r="GA125" s="356"/>
      <c r="GB125" s="363"/>
      <c r="GC125" s="363"/>
      <c r="GD125" s="356"/>
      <c r="GE125" s="356"/>
      <c r="GF125" s="356"/>
      <c r="GG125" s="356"/>
      <c r="GH125" s="363"/>
      <c r="GI125" s="367"/>
      <c r="GJ125" s="356"/>
      <c r="GK125" s="360"/>
      <c r="GL125" s="360"/>
      <c r="GM125" s="360"/>
      <c r="GN125" s="356"/>
      <c r="GO125" s="356"/>
      <c r="GP125" s="355"/>
      <c r="GQ125" s="358"/>
      <c r="GR125" s="362"/>
    </row>
    <row r="126" spans="1:200" ht="13.5" customHeight="1" x14ac:dyDescent="0.2">
      <c r="A126" s="359"/>
      <c r="B126" s="359"/>
      <c r="C126" s="359"/>
      <c r="D126" s="359"/>
      <c r="E126" s="359"/>
      <c r="F126" s="357"/>
      <c r="G126" s="357"/>
      <c r="H126" s="390"/>
      <c r="I126" s="359"/>
      <c r="J126" s="359"/>
      <c r="K126" s="359"/>
      <c r="L126" s="359"/>
      <c r="M126" s="357"/>
      <c r="N126" s="357"/>
      <c r="O126" s="357"/>
      <c r="P126" s="357"/>
      <c r="Q126" s="357"/>
      <c r="R126" s="357"/>
      <c r="S126" s="354"/>
      <c r="T126" s="354"/>
      <c r="U126" s="357"/>
      <c r="V126" s="357"/>
      <c r="W126" s="357"/>
      <c r="X126" s="359"/>
      <c r="Y126" s="359"/>
      <c r="Z126" s="357"/>
      <c r="AA126" s="357"/>
      <c r="AB126" s="390"/>
      <c r="AC126" s="357"/>
      <c r="AD126" s="354"/>
      <c r="AE126" s="357"/>
      <c r="AF126" s="354"/>
      <c r="AG126" s="380"/>
      <c r="AH126" s="380"/>
      <c r="AI126" s="380"/>
      <c r="AJ126" s="357"/>
      <c r="AK126" s="354"/>
      <c r="AL126" s="354"/>
      <c r="AM126" s="354"/>
      <c r="AN126" s="354"/>
      <c r="AO126" s="354"/>
      <c r="AP126" s="354"/>
      <c r="AQ126" s="354"/>
      <c r="AR126" s="354"/>
      <c r="AS126" s="380"/>
      <c r="AT126" s="380"/>
      <c r="AU126" s="354"/>
      <c r="AV126" s="354"/>
      <c r="AW126" s="354"/>
      <c r="AX126" s="354"/>
      <c r="AY126" s="354"/>
      <c r="AZ126" s="380"/>
      <c r="BA126" s="354"/>
      <c r="BB126" s="354"/>
      <c r="BC126" s="354"/>
      <c r="BD126" s="354"/>
      <c r="BE126" s="354"/>
      <c r="BF126" s="357"/>
      <c r="BG126" s="354"/>
      <c r="BH126" s="354"/>
      <c r="BI126" s="354"/>
      <c r="BJ126" s="354"/>
      <c r="BK126" s="354"/>
      <c r="BL126" s="380"/>
      <c r="BM126" s="357"/>
      <c r="BN126" s="357"/>
      <c r="BO126" s="357"/>
      <c r="BP126" s="354"/>
      <c r="BQ126" s="354"/>
      <c r="BR126" s="393"/>
      <c r="BS126" s="393"/>
      <c r="BT126" s="393"/>
      <c r="BU126" s="393"/>
      <c r="BV126" s="393"/>
      <c r="BW126" s="394"/>
      <c r="BX126" s="394"/>
      <c r="BY126" s="394"/>
      <c r="BZ126" s="394"/>
      <c r="CA126" s="394"/>
      <c r="CB126" s="394"/>
      <c r="CC126" s="394"/>
      <c r="CD126" s="394"/>
      <c r="CE126" s="394"/>
      <c r="CF126" s="394"/>
      <c r="CG126" s="394"/>
      <c r="CH126" s="394"/>
      <c r="CI126" s="394"/>
      <c r="CJ126" s="394"/>
      <c r="CK126" s="394"/>
      <c r="CL126" s="394"/>
      <c r="CM126" s="394"/>
      <c r="CN126" s="394"/>
      <c r="CO126" s="394"/>
      <c r="CP126" s="394"/>
      <c r="CQ126" s="394"/>
      <c r="CR126" s="394"/>
      <c r="CS126" s="394"/>
      <c r="CT126" s="394"/>
      <c r="CU126" s="394"/>
      <c r="CV126" s="394"/>
      <c r="CW126" s="394"/>
      <c r="CX126" s="394"/>
      <c r="CY126" s="394"/>
      <c r="CZ126" s="394"/>
      <c r="DA126" s="394"/>
      <c r="DB126" s="394"/>
      <c r="DC126" s="394"/>
      <c r="DD126" s="394"/>
      <c r="DE126" s="394"/>
      <c r="DF126" s="394"/>
      <c r="DG126" s="394"/>
      <c r="DH126" s="394"/>
      <c r="DI126" s="394"/>
      <c r="DJ126" s="394"/>
      <c r="DK126" s="394"/>
      <c r="DL126" s="394"/>
      <c r="DM126" s="394"/>
      <c r="DN126" s="394"/>
      <c r="DO126" s="394"/>
      <c r="DP126" s="394"/>
      <c r="DQ126" s="394"/>
      <c r="DR126" s="394"/>
      <c r="DS126" s="394"/>
      <c r="DT126" s="394"/>
      <c r="DU126" s="394"/>
      <c r="DV126" s="394"/>
      <c r="DW126" s="394"/>
      <c r="DX126" s="394"/>
      <c r="DY126" s="394"/>
      <c r="DZ126" s="394"/>
      <c r="EA126" s="394"/>
      <c r="EB126" s="394"/>
      <c r="EC126" s="394"/>
      <c r="ED126" s="394"/>
      <c r="EE126" s="394"/>
      <c r="EF126" s="354"/>
      <c r="EG126" s="354"/>
      <c r="EH126" s="355"/>
      <c r="EI126" s="362"/>
      <c r="EJ126" s="387"/>
      <c r="EK126" s="362"/>
      <c r="EL126" s="362"/>
      <c r="EM126" s="359"/>
      <c r="EN126" s="362"/>
      <c r="EO126" s="362"/>
      <c r="EP126" s="355"/>
      <c r="EQ126" s="359"/>
      <c r="ER126" s="359"/>
      <c r="ES126" s="361"/>
      <c r="ET126" s="361"/>
      <c r="EU126" s="361"/>
      <c r="EV126" s="361"/>
      <c r="EW126" s="361"/>
      <c r="EX126" s="361"/>
      <c r="EY126" s="361"/>
      <c r="EZ126" s="355"/>
      <c r="FA126" s="355"/>
      <c r="FB126" s="355"/>
      <c r="FC126" s="362"/>
      <c r="FD126" s="362"/>
      <c r="FE126" s="355"/>
      <c r="FF126" s="355"/>
      <c r="FG126" s="361"/>
      <c r="FH126" s="361"/>
      <c r="FI126" s="355"/>
      <c r="FJ126" s="355"/>
      <c r="FK126" s="367"/>
      <c r="FL126" s="363"/>
      <c r="FM126" s="358"/>
      <c r="FN126" s="362"/>
      <c r="FO126" s="362"/>
      <c r="FP126" s="358"/>
      <c r="FQ126" s="362"/>
      <c r="FR126" s="358"/>
      <c r="FS126" s="356"/>
      <c r="FT126" s="360"/>
      <c r="FU126" s="356"/>
      <c r="FV126" s="355"/>
      <c r="FW126" s="358"/>
      <c r="FX126" s="358"/>
      <c r="FY126" s="356"/>
      <c r="FZ126" s="356"/>
      <c r="GA126" s="364"/>
      <c r="GB126" s="364"/>
      <c r="GC126" s="359"/>
      <c r="GD126" s="359"/>
      <c r="GE126" s="364"/>
      <c r="GF126" s="360"/>
      <c r="GG126" s="356"/>
      <c r="GH126" s="356"/>
      <c r="GI126" s="364"/>
      <c r="GJ126" s="363"/>
      <c r="GK126" s="363"/>
      <c r="GL126" s="356"/>
      <c r="GM126" s="357"/>
      <c r="GN126" s="357"/>
      <c r="GO126" s="357"/>
      <c r="GP126" s="390"/>
      <c r="GQ126" s="357"/>
      <c r="GR126" s="361"/>
    </row>
    <row r="127" spans="1:200" ht="13.5" customHeight="1" x14ac:dyDescent="0.2">
      <c r="A127" s="359"/>
      <c r="B127" s="359"/>
      <c r="C127" s="359"/>
      <c r="D127" s="359"/>
      <c r="E127" s="359"/>
      <c r="F127" s="359"/>
      <c r="G127" s="359"/>
      <c r="H127" s="359"/>
      <c r="I127" s="357"/>
      <c r="J127" s="359"/>
      <c r="K127" s="359"/>
      <c r="L127" s="357"/>
      <c r="M127" s="357"/>
      <c r="N127" s="357"/>
      <c r="O127" s="357"/>
      <c r="P127" s="359"/>
      <c r="Q127" s="359"/>
      <c r="R127" s="357"/>
      <c r="S127" s="357"/>
      <c r="T127" s="355"/>
      <c r="U127" s="355"/>
      <c r="V127" s="390"/>
      <c r="W127" s="359"/>
      <c r="X127" s="359"/>
      <c r="Y127" s="359"/>
      <c r="Z127" s="357"/>
      <c r="AA127" s="380"/>
      <c r="AB127" s="380"/>
      <c r="AC127" s="357"/>
      <c r="AD127" s="354"/>
      <c r="AE127" s="354"/>
      <c r="AF127" s="354"/>
      <c r="AG127" s="380"/>
      <c r="AH127" s="380"/>
      <c r="AI127" s="357"/>
      <c r="AJ127" s="357"/>
      <c r="AK127" s="380"/>
      <c r="AL127" s="354"/>
      <c r="AM127" s="354"/>
      <c r="AN127" s="354"/>
      <c r="AO127" s="354"/>
      <c r="AP127" s="380"/>
      <c r="AQ127" s="354"/>
      <c r="AR127" s="354"/>
      <c r="AS127" s="357"/>
      <c r="AT127" s="380"/>
      <c r="AU127" s="369"/>
      <c r="AV127" s="354"/>
      <c r="AW127" s="354"/>
      <c r="AX127" s="354"/>
      <c r="AY127" s="354"/>
      <c r="AZ127" s="354"/>
      <c r="BA127" s="354"/>
      <c r="BB127" s="354"/>
      <c r="BC127" s="354"/>
      <c r="BD127" s="354"/>
      <c r="BE127" s="354"/>
      <c r="BF127" s="357"/>
      <c r="BG127" s="354"/>
      <c r="BH127" s="354"/>
      <c r="BI127" s="354"/>
      <c r="BJ127" s="354"/>
      <c r="BK127" s="354"/>
      <c r="BL127" s="380"/>
      <c r="BM127" s="354"/>
      <c r="BN127" s="354"/>
      <c r="BO127" s="357"/>
      <c r="BP127" s="354"/>
      <c r="BQ127" s="354"/>
      <c r="BR127" s="354"/>
      <c r="BS127" s="393"/>
      <c r="BT127" s="393"/>
      <c r="BU127" s="393"/>
      <c r="BV127" s="393"/>
      <c r="BW127" s="354"/>
      <c r="BX127" s="396"/>
      <c r="BY127" s="396"/>
      <c r="BZ127" s="354"/>
      <c r="CA127" s="396"/>
      <c r="CB127" s="396"/>
      <c r="CC127" s="354"/>
      <c r="CD127" s="354"/>
      <c r="CE127" s="354"/>
      <c r="CF127" s="354"/>
      <c r="CG127" s="354"/>
      <c r="CH127" s="354"/>
      <c r="CI127" s="354"/>
      <c r="CJ127" s="354"/>
      <c r="CK127" s="354"/>
      <c r="CL127" s="354"/>
      <c r="CM127" s="354"/>
      <c r="CN127" s="354"/>
      <c r="CO127" s="354"/>
      <c r="CP127" s="396"/>
      <c r="CQ127" s="396"/>
      <c r="CR127" s="396"/>
      <c r="CS127" s="396"/>
      <c r="CT127" s="396"/>
      <c r="CU127" s="396"/>
      <c r="CV127" s="354"/>
      <c r="CW127" s="354"/>
      <c r="CX127" s="354"/>
      <c r="CY127" s="396"/>
      <c r="CZ127" s="396"/>
      <c r="DA127" s="354"/>
      <c r="DB127" s="354"/>
      <c r="DC127" s="354"/>
      <c r="DD127" s="354"/>
      <c r="DE127" s="354"/>
      <c r="DF127" s="354"/>
      <c r="DG127" s="354"/>
      <c r="DH127" s="354"/>
      <c r="DI127" s="354"/>
      <c r="DJ127" s="354"/>
      <c r="DK127" s="354"/>
      <c r="DL127" s="354"/>
      <c r="DM127" s="354"/>
      <c r="DN127" s="354"/>
      <c r="DO127" s="354"/>
      <c r="DP127" s="354"/>
      <c r="DQ127" s="354"/>
      <c r="DR127" s="354"/>
      <c r="DS127" s="354"/>
      <c r="DT127" s="354"/>
      <c r="DU127" s="354"/>
      <c r="DV127" s="354"/>
      <c r="DW127" s="354"/>
      <c r="DX127" s="354"/>
      <c r="DY127" s="354"/>
      <c r="DZ127" s="354"/>
      <c r="EA127" s="354"/>
      <c r="EB127" s="354"/>
      <c r="EC127" s="354"/>
      <c r="ED127" s="354"/>
      <c r="EE127" s="354"/>
      <c r="EF127" s="354"/>
      <c r="EG127" s="358"/>
      <c r="EH127" s="359"/>
      <c r="EI127" s="359"/>
      <c r="EJ127" s="357"/>
      <c r="EK127" s="357"/>
      <c r="EL127" s="359"/>
      <c r="EM127" s="355"/>
      <c r="EN127" s="362"/>
      <c r="EO127" s="359"/>
      <c r="EP127" s="357"/>
      <c r="EQ127" s="357"/>
      <c r="ER127" s="362"/>
      <c r="ES127" s="387"/>
      <c r="ET127" s="362"/>
      <c r="EU127" s="361"/>
      <c r="EV127" s="359"/>
      <c r="EW127" s="361"/>
      <c r="EX127" s="361"/>
      <c r="EY127" s="361"/>
      <c r="EZ127" s="360"/>
      <c r="FA127" s="360"/>
      <c r="FB127" s="362"/>
      <c r="FC127" s="362"/>
      <c r="FD127" s="359"/>
      <c r="FE127" s="355"/>
      <c r="FF127" s="358"/>
      <c r="FG127" s="358"/>
      <c r="FH127" s="355"/>
      <c r="FI127" s="360"/>
      <c r="FJ127" s="360"/>
      <c r="FK127" s="360"/>
      <c r="FL127" s="358"/>
      <c r="FM127" s="358"/>
      <c r="FN127" s="359"/>
      <c r="FO127" s="359"/>
      <c r="FP127" s="358"/>
      <c r="FQ127" s="362"/>
      <c r="FR127" s="358"/>
      <c r="FS127" s="359"/>
      <c r="FT127" s="359"/>
      <c r="FU127" s="359"/>
      <c r="FV127" s="357"/>
      <c r="FW127" s="357"/>
      <c r="FX127" s="390"/>
      <c r="FY127" s="357"/>
      <c r="FZ127" s="355"/>
      <c r="GA127" s="359"/>
      <c r="GB127" s="359"/>
      <c r="GC127" s="359"/>
      <c r="GD127" s="359"/>
      <c r="GE127" s="358"/>
      <c r="GF127" s="358"/>
      <c r="GG127" s="355"/>
      <c r="GH127" s="364"/>
      <c r="GI127" s="360"/>
      <c r="GJ127" s="356"/>
      <c r="GK127" s="357"/>
      <c r="GL127" s="359"/>
      <c r="GM127" s="359"/>
      <c r="GN127" s="359"/>
      <c r="GO127" s="359"/>
      <c r="GP127" s="367"/>
      <c r="GQ127" s="357"/>
      <c r="GR127" s="357"/>
    </row>
    <row r="128" spans="1:200" ht="13.5" customHeight="1" x14ac:dyDescent="0.2">
      <c r="A128" s="390"/>
      <c r="B128" s="390"/>
      <c r="C128" s="359"/>
      <c r="D128" s="359"/>
      <c r="E128" s="359"/>
      <c r="F128" s="359"/>
      <c r="G128" s="359"/>
      <c r="H128" s="359"/>
      <c r="I128" s="357"/>
      <c r="J128" s="357"/>
      <c r="K128" s="357"/>
      <c r="L128" s="357"/>
      <c r="M128" s="357"/>
      <c r="N128" s="357"/>
      <c r="O128" s="359"/>
      <c r="P128" s="359"/>
      <c r="Q128" s="357"/>
      <c r="R128" s="357"/>
      <c r="S128" s="355"/>
      <c r="T128" s="367"/>
      <c r="U128" s="367"/>
      <c r="V128" s="359"/>
      <c r="W128" s="362"/>
      <c r="X128" s="362"/>
      <c r="Y128" s="359"/>
      <c r="Z128" s="357"/>
      <c r="AA128" s="380"/>
      <c r="AB128" s="380"/>
      <c r="AC128" s="354"/>
      <c r="AD128" s="354"/>
      <c r="AE128" s="354"/>
      <c r="AF128" s="369"/>
      <c r="AG128" s="380"/>
      <c r="AH128" s="367"/>
      <c r="AI128" s="357"/>
      <c r="AJ128" s="357"/>
      <c r="AK128" s="357"/>
      <c r="AL128" s="354"/>
      <c r="AM128" s="354"/>
      <c r="AN128" s="354"/>
      <c r="AO128" s="354"/>
      <c r="AP128" s="380"/>
      <c r="AQ128" s="354"/>
      <c r="AR128" s="354"/>
      <c r="AS128" s="354"/>
      <c r="AT128" s="380"/>
      <c r="AU128" s="381"/>
      <c r="AV128" s="381"/>
      <c r="AW128" s="381"/>
      <c r="AX128" s="354"/>
      <c r="AY128" s="354"/>
      <c r="AZ128" s="354"/>
      <c r="BA128" s="354"/>
      <c r="BB128" s="354"/>
      <c r="BC128" s="357"/>
      <c r="BD128" s="354"/>
      <c r="BE128" s="354"/>
      <c r="BF128" s="354"/>
      <c r="BG128" s="354"/>
      <c r="BH128" s="357"/>
      <c r="BI128" s="354"/>
      <c r="BJ128" s="354"/>
      <c r="BK128" s="354"/>
      <c r="BL128" s="354"/>
      <c r="BM128" s="380"/>
      <c r="BN128" s="354"/>
      <c r="BO128" s="354"/>
      <c r="BP128" s="357"/>
      <c r="BQ128" s="354"/>
      <c r="BR128" s="354"/>
      <c r="BS128" s="354"/>
      <c r="BT128" s="354"/>
      <c r="BU128" s="354"/>
      <c r="BV128" s="354"/>
      <c r="BW128" s="354"/>
      <c r="BX128" s="354"/>
      <c r="BY128" s="354"/>
      <c r="BZ128" s="354"/>
      <c r="CA128" s="354"/>
      <c r="CB128" s="354"/>
      <c r="CC128" s="354"/>
      <c r="CD128" s="354"/>
      <c r="CE128" s="354"/>
      <c r="CF128" s="354"/>
      <c r="CG128" s="354"/>
      <c r="CH128" s="354"/>
      <c r="CI128" s="354"/>
      <c r="CJ128" s="354"/>
      <c r="CK128" s="354"/>
      <c r="CL128" s="354"/>
      <c r="CM128" s="354"/>
      <c r="CN128" s="354"/>
      <c r="CO128" s="354"/>
      <c r="CP128" s="354"/>
      <c r="CQ128" s="354"/>
      <c r="CR128" s="354"/>
      <c r="CS128" s="354"/>
      <c r="CT128" s="354"/>
      <c r="CU128" s="354"/>
      <c r="CV128" s="354"/>
      <c r="CW128" s="354"/>
      <c r="CX128" s="354"/>
      <c r="CY128" s="354"/>
      <c r="CZ128" s="354"/>
      <c r="DA128" s="354"/>
      <c r="DB128" s="354"/>
      <c r="DC128" s="354"/>
      <c r="DD128" s="354"/>
      <c r="DE128" s="354"/>
      <c r="DF128" s="354"/>
      <c r="DG128" s="354"/>
      <c r="DH128" s="354"/>
      <c r="DI128" s="354"/>
      <c r="DJ128" s="354"/>
      <c r="DK128" s="354"/>
      <c r="DL128" s="354"/>
      <c r="DM128" s="354"/>
      <c r="DN128" s="354"/>
      <c r="DO128" s="354"/>
      <c r="DP128" s="354"/>
      <c r="DQ128" s="354"/>
      <c r="DR128" s="354"/>
      <c r="DS128" s="354"/>
      <c r="DT128" s="354"/>
      <c r="DU128" s="354"/>
      <c r="DV128" s="355"/>
      <c r="DW128" s="362"/>
      <c r="DX128" s="362"/>
      <c r="DY128" s="362"/>
      <c r="DZ128" s="387"/>
      <c r="EA128" s="359"/>
      <c r="EB128" s="355"/>
      <c r="EC128" s="357"/>
      <c r="ED128" s="362"/>
      <c r="EE128" s="359"/>
      <c r="EF128" s="359"/>
      <c r="EG128" s="359"/>
      <c r="EH128" s="357"/>
      <c r="EI128" s="357"/>
      <c r="EJ128" s="357"/>
      <c r="EK128" s="357"/>
      <c r="EL128" s="354"/>
      <c r="EM128" s="357"/>
      <c r="EN128" s="357"/>
      <c r="EO128" s="357"/>
      <c r="EP128" s="357"/>
      <c r="EQ128" s="358"/>
      <c r="ER128" s="359"/>
      <c r="ES128" s="362"/>
      <c r="ET128" s="357"/>
      <c r="EU128" s="357"/>
      <c r="EV128" s="387"/>
      <c r="EW128" s="361"/>
      <c r="EX128" s="357"/>
      <c r="EY128" s="355"/>
      <c r="EZ128" s="355"/>
      <c r="FA128" s="359"/>
      <c r="FB128" s="361"/>
      <c r="FC128" s="361"/>
      <c r="FD128" s="355"/>
      <c r="FE128" s="359"/>
      <c r="FF128" s="362"/>
      <c r="FG128" s="361"/>
      <c r="FH128" s="362"/>
      <c r="FI128" s="362"/>
      <c r="FJ128" s="355"/>
      <c r="FK128" s="355"/>
      <c r="FL128" s="355"/>
      <c r="FM128" s="359"/>
      <c r="FN128" s="358"/>
      <c r="FO128" s="358"/>
      <c r="FP128" s="359"/>
      <c r="FQ128" s="358"/>
      <c r="FR128" s="355"/>
      <c r="FS128" s="355"/>
      <c r="FT128" s="362"/>
      <c r="FU128" s="362"/>
      <c r="FV128" s="357"/>
      <c r="FW128" s="357"/>
      <c r="FX128" s="360"/>
      <c r="FY128" s="360"/>
      <c r="FZ128" s="360"/>
      <c r="GA128" s="360"/>
      <c r="GB128" s="359"/>
      <c r="GC128" s="359"/>
      <c r="GD128" s="390"/>
      <c r="GE128" s="359"/>
      <c r="GF128" s="359"/>
      <c r="GG128" s="356"/>
      <c r="GH128" s="355"/>
      <c r="GI128" s="355"/>
      <c r="GJ128" s="357"/>
      <c r="GK128" s="359"/>
      <c r="GL128" s="361"/>
      <c r="GM128" s="361"/>
      <c r="GN128" s="361"/>
      <c r="GO128" s="361"/>
      <c r="GP128" s="355"/>
      <c r="GQ128" s="367"/>
      <c r="GR128" s="357"/>
    </row>
    <row r="129" spans="1:200" ht="13.5" customHeight="1" x14ac:dyDescent="0.2">
      <c r="A129" s="390"/>
      <c r="B129" s="390"/>
      <c r="C129" s="359"/>
      <c r="D129" s="359"/>
      <c r="E129" s="359"/>
      <c r="F129" s="359"/>
      <c r="G129" s="354"/>
      <c r="H129" s="354"/>
      <c r="I129" s="357"/>
      <c r="J129" s="357"/>
      <c r="K129" s="357"/>
      <c r="L129" s="357"/>
      <c r="M129" s="357"/>
      <c r="N129" s="359"/>
      <c r="O129" s="359"/>
      <c r="P129" s="359"/>
      <c r="Q129" s="359"/>
      <c r="R129" s="357"/>
      <c r="S129" s="357"/>
      <c r="T129" s="357"/>
      <c r="U129" s="358"/>
      <c r="V129" s="362"/>
      <c r="W129" s="362"/>
      <c r="X129" s="362"/>
      <c r="Y129" s="367"/>
      <c r="Z129" s="357"/>
      <c r="AA129" s="380"/>
      <c r="AB129" s="357"/>
      <c r="AC129" s="354"/>
      <c r="AD129" s="354"/>
      <c r="AE129" s="354"/>
      <c r="AF129" s="369"/>
      <c r="AG129" s="355"/>
      <c r="AH129" s="357"/>
      <c r="AI129" s="357"/>
      <c r="AJ129" s="354"/>
      <c r="AK129" s="357"/>
      <c r="AL129" s="357"/>
      <c r="AM129" s="354"/>
      <c r="AN129" s="354"/>
      <c r="AO129" s="354"/>
      <c r="AP129" s="380"/>
      <c r="AQ129" s="354"/>
      <c r="AR129" s="354"/>
      <c r="AS129" s="354"/>
      <c r="AT129" s="354"/>
      <c r="AU129" s="381"/>
      <c r="AV129" s="381"/>
      <c r="AW129" s="381"/>
      <c r="AX129" s="381"/>
      <c r="AY129" s="354"/>
      <c r="AZ129" s="354"/>
      <c r="BA129" s="354"/>
      <c r="BB129" s="354"/>
      <c r="BC129" s="357"/>
      <c r="BD129" s="357"/>
      <c r="BE129" s="390"/>
      <c r="BF129" s="354"/>
      <c r="BG129" s="357"/>
      <c r="BH129" s="357"/>
      <c r="BI129" s="357"/>
      <c r="BJ129" s="354"/>
      <c r="BK129" s="354"/>
      <c r="BL129" s="354"/>
      <c r="BM129" s="390"/>
      <c r="BN129" s="354"/>
      <c r="BO129" s="354"/>
      <c r="BP129" s="354"/>
      <c r="BQ129" s="380"/>
      <c r="BR129" s="354"/>
      <c r="BS129" s="354"/>
      <c r="BT129" s="354"/>
      <c r="BU129" s="354"/>
      <c r="BV129" s="354"/>
      <c r="BW129" s="354"/>
      <c r="BX129" s="354"/>
      <c r="BY129" s="357"/>
      <c r="BZ129" s="357"/>
      <c r="CA129" s="357"/>
      <c r="CB129" s="357"/>
      <c r="CC129" s="354"/>
      <c r="CD129" s="354"/>
      <c r="CE129" s="354"/>
      <c r="CF129" s="354"/>
      <c r="CG129" s="354"/>
      <c r="CH129" s="354"/>
      <c r="CI129" s="354"/>
      <c r="CJ129" s="354"/>
      <c r="CK129" s="354"/>
      <c r="CL129" s="354"/>
      <c r="CM129" s="354"/>
      <c r="CN129" s="354"/>
      <c r="CO129" s="354"/>
      <c r="CP129" s="354"/>
      <c r="CQ129" s="354"/>
      <c r="CR129" s="393"/>
      <c r="CS129" s="381"/>
      <c r="CT129" s="354"/>
      <c r="CU129" s="354"/>
      <c r="CV129" s="354"/>
      <c r="CW129" s="354"/>
      <c r="CX129" s="354"/>
      <c r="CY129" s="354"/>
      <c r="CZ129" s="354"/>
      <c r="DA129" s="354"/>
      <c r="DB129" s="354"/>
      <c r="DC129" s="354"/>
      <c r="DD129" s="354"/>
      <c r="DE129" s="354"/>
      <c r="DF129" s="354"/>
      <c r="DG129" s="354"/>
      <c r="DH129" s="354"/>
      <c r="DI129" s="354"/>
      <c r="DJ129" s="354"/>
      <c r="DK129" s="354"/>
      <c r="DL129" s="354"/>
      <c r="DM129" s="354"/>
      <c r="DN129" s="354"/>
      <c r="DO129" s="354"/>
      <c r="DP129" s="354"/>
      <c r="DQ129" s="354"/>
      <c r="DR129" s="354"/>
      <c r="DS129" s="354"/>
      <c r="DT129" s="354"/>
      <c r="DU129" s="381"/>
      <c r="DV129" s="354"/>
      <c r="DW129" s="362"/>
      <c r="DX129" s="361"/>
      <c r="DY129" s="359"/>
      <c r="DZ129" s="359"/>
      <c r="EA129" s="359"/>
      <c r="EB129" s="362"/>
      <c r="EC129" s="359"/>
      <c r="ED129" s="359"/>
      <c r="EE129" s="359"/>
      <c r="EF129" s="358"/>
      <c r="EG129" s="357"/>
      <c r="EH129" s="359"/>
      <c r="EI129" s="359"/>
      <c r="EJ129" s="359"/>
      <c r="EK129" s="357"/>
      <c r="EL129" s="357"/>
      <c r="EM129" s="354"/>
      <c r="EN129" s="357"/>
      <c r="EO129" s="357"/>
      <c r="EP129" s="357"/>
      <c r="EQ129" s="359"/>
      <c r="ER129" s="357"/>
      <c r="ES129" s="359"/>
      <c r="ET129" s="357"/>
      <c r="EU129" s="357"/>
      <c r="EV129" s="387"/>
      <c r="EW129" s="357"/>
      <c r="EX129" s="357"/>
      <c r="EY129" s="355"/>
      <c r="EZ129" s="359"/>
      <c r="FA129" s="359"/>
      <c r="FB129" s="359"/>
      <c r="FC129" s="359"/>
      <c r="FD129" s="359"/>
      <c r="FE129" s="387"/>
      <c r="FF129" s="362"/>
      <c r="FG129" s="362"/>
      <c r="FH129" s="361"/>
      <c r="FI129" s="361"/>
      <c r="FJ129" s="361"/>
      <c r="FK129" s="359"/>
      <c r="FL129" s="359"/>
      <c r="FM129" s="359"/>
      <c r="FN129" s="358"/>
      <c r="FO129" s="362"/>
      <c r="FP129" s="362"/>
      <c r="FQ129" s="356"/>
      <c r="FR129" s="387"/>
      <c r="FS129" s="362"/>
      <c r="FT129" s="357"/>
      <c r="FU129" s="359"/>
      <c r="FV129" s="361"/>
      <c r="FW129" s="361"/>
      <c r="FX129" s="356"/>
      <c r="FY129" s="387"/>
      <c r="FZ129" s="361"/>
      <c r="GA129" s="361"/>
      <c r="GB129" s="361"/>
      <c r="GC129" s="359"/>
      <c r="GD129" s="357"/>
      <c r="GE129" s="357"/>
      <c r="GF129" s="390"/>
      <c r="GG129" s="357"/>
      <c r="GH129" s="360"/>
      <c r="GI129" s="364"/>
      <c r="GJ129" s="357"/>
      <c r="GK129" s="361"/>
      <c r="GL129" s="359"/>
      <c r="GM129" s="358"/>
      <c r="GN129" s="360"/>
      <c r="GO129" s="360"/>
      <c r="GP129" s="361"/>
      <c r="GQ129" s="355"/>
      <c r="GR129" s="357"/>
    </row>
    <row r="130" spans="1:200" ht="13.5" customHeight="1" x14ac:dyDescent="0.2">
      <c r="A130" s="357"/>
      <c r="B130" s="357"/>
      <c r="C130" s="357"/>
      <c r="D130" s="357"/>
      <c r="E130" s="354"/>
      <c r="F130" s="357"/>
      <c r="G130" s="359"/>
      <c r="H130" s="359"/>
      <c r="I130" s="359"/>
      <c r="J130" s="357"/>
      <c r="K130" s="357"/>
      <c r="L130" s="357"/>
      <c r="M130" s="359"/>
      <c r="N130" s="359"/>
      <c r="O130" s="359"/>
      <c r="P130" s="357"/>
      <c r="Q130" s="357"/>
      <c r="R130" s="357"/>
      <c r="S130" s="359"/>
      <c r="T130" s="358"/>
      <c r="U130" s="358"/>
      <c r="V130" s="362"/>
      <c r="W130" s="362"/>
      <c r="X130" s="390"/>
      <c r="Y130" s="357"/>
      <c r="Z130" s="354"/>
      <c r="AA130" s="380"/>
      <c r="AB130" s="354"/>
      <c r="AC130" s="354"/>
      <c r="AD130" s="354"/>
      <c r="AE130" s="369"/>
      <c r="AF130" s="369"/>
      <c r="AG130" s="380"/>
      <c r="AH130" s="357"/>
      <c r="AI130" s="357"/>
      <c r="AJ130" s="354"/>
      <c r="AK130" s="354"/>
      <c r="AL130" s="357"/>
      <c r="AM130" s="354"/>
      <c r="AN130" s="354"/>
      <c r="AO130" s="354"/>
      <c r="AP130" s="380"/>
      <c r="AQ130" s="354"/>
      <c r="AR130" s="354"/>
      <c r="AS130" s="354"/>
      <c r="AT130" s="354"/>
      <c r="AU130" s="354"/>
      <c r="AV130" s="381"/>
      <c r="AW130" s="381"/>
      <c r="AX130" s="380"/>
      <c r="AY130" s="381"/>
      <c r="AZ130" s="354"/>
      <c r="BA130" s="354"/>
      <c r="BB130" s="354"/>
      <c r="BC130" s="357"/>
      <c r="BD130" s="354"/>
      <c r="BE130" s="380"/>
      <c r="BF130" s="354"/>
      <c r="BG130" s="357"/>
      <c r="BH130" s="354"/>
      <c r="BI130" s="380"/>
      <c r="BJ130" s="354"/>
      <c r="BK130" s="354"/>
      <c r="BL130" s="354"/>
      <c r="BM130" s="390"/>
      <c r="BN130" s="354"/>
      <c r="BO130" s="357"/>
      <c r="BP130" s="380"/>
      <c r="BQ130" s="380"/>
      <c r="BR130" s="354"/>
      <c r="BS130" s="354"/>
      <c r="BT130" s="354"/>
      <c r="BU130" s="354"/>
      <c r="BV130" s="354"/>
      <c r="BW130" s="354"/>
      <c r="BX130" s="354"/>
      <c r="BY130" s="354"/>
      <c r="BZ130" s="357"/>
      <c r="CA130" s="357"/>
      <c r="CB130" s="354"/>
      <c r="CC130" s="354"/>
      <c r="CD130" s="354"/>
      <c r="CE130" s="354"/>
      <c r="CF130" s="354"/>
      <c r="CG130" s="354"/>
      <c r="CH130" s="395"/>
      <c r="CI130" s="381"/>
      <c r="CJ130" s="381"/>
      <c r="CK130" s="381"/>
      <c r="CL130" s="381"/>
      <c r="CM130" s="381"/>
      <c r="CN130" s="393"/>
      <c r="CO130" s="393"/>
      <c r="CP130" s="393"/>
      <c r="CQ130" s="393"/>
      <c r="CR130" s="393"/>
      <c r="CS130" s="393"/>
      <c r="CT130" s="393"/>
      <c r="CU130" s="393"/>
      <c r="CV130" s="395"/>
      <c r="CW130" s="395"/>
      <c r="CX130" s="395"/>
      <c r="CY130" s="393"/>
      <c r="CZ130" s="395"/>
      <c r="DA130" s="395"/>
      <c r="DB130" s="395"/>
      <c r="DC130" s="393"/>
      <c r="DD130" s="381"/>
      <c r="DE130" s="381"/>
      <c r="DF130" s="381"/>
      <c r="DG130" s="381"/>
      <c r="DH130" s="354"/>
      <c r="DI130" s="354"/>
      <c r="DJ130" s="354"/>
      <c r="DK130" s="354"/>
      <c r="DL130" s="354"/>
      <c r="DM130" s="354"/>
      <c r="DN130" s="354"/>
      <c r="DO130" s="354"/>
      <c r="DP130" s="354"/>
      <c r="DQ130" s="381"/>
      <c r="DR130" s="395"/>
      <c r="DS130" s="393"/>
      <c r="DT130" s="393"/>
      <c r="DU130" s="381"/>
      <c r="DV130" s="354"/>
      <c r="DW130" s="362"/>
      <c r="DX130" s="362"/>
      <c r="DY130" s="362"/>
      <c r="DZ130" s="362"/>
      <c r="EA130" s="361"/>
      <c r="EB130" s="362"/>
      <c r="EC130" s="358"/>
      <c r="ED130" s="387"/>
      <c r="EE130" s="359"/>
      <c r="EF130" s="359"/>
      <c r="EG130" s="358"/>
      <c r="EH130" s="358"/>
      <c r="EI130" s="362"/>
      <c r="EJ130" s="362"/>
      <c r="EK130" s="362"/>
      <c r="EL130" s="362"/>
      <c r="EM130" s="355"/>
      <c r="EN130" s="355"/>
      <c r="EO130" s="380"/>
      <c r="EP130" s="354"/>
      <c r="EQ130" s="358"/>
      <c r="ER130" s="357"/>
      <c r="ES130" s="358"/>
      <c r="ET130" s="354"/>
      <c r="EU130" s="357"/>
      <c r="EV130" s="354"/>
      <c r="EW130" s="357"/>
      <c r="EX130" s="390"/>
      <c r="EY130" s="357"/>
      <c r="EZ130" s="357"/>
      <c r="FA130" s="357"/>
      <c r="FB130" s="357"/>
      <c r="FC130" s="357"/>
      <c r="FD130" s="359"/>
      <c r="FE130" s="358"/>
      <c r="FF130" s="359"/>
      <c r="FG130" s="361"/>
      <c r="FH130" s="355"/>
      <c r="FI130" s="387"/>
      <c r="FJ130" s="359"/>
      <c r="FK130" s="359"/>
      <c r="FL130" s="359"/>
      <c r="FM130" s="358"/>
      <c r="FN130" s="362"/>
      <c r="FO130" s="355"/>
      <c r="FP130" s="361"/>
      <c r="FQ130" s="362"/>
      <c r="FR130" s="362"/>
      <c r="FS130" s="362"/>
      <c r="FT130" s="357"/>
      <c r="FU130" s="359"/>
      <c r="FV130" s="355"/>
      <c r="FW130" s="359"/>
      <c r="FX130" s="361"/>
      <c r="FY130" s="361"/>
      <c r="FZ130" s="361"/>
      <c r="GA130" s="361"/>
      <c r="GB130" s="387"/>
      <c r="GC130" s="362"/>
      <c r="GD130" s="359"/>
      <c r="GE130" s="358"/>
      <c r="GF130" s="390"/>
      <c r="GG130" s="361"/>
      <c r="GH130" s="355"/>
      <c r="GI130" s="357"/>
      <c r="GJ130" s="357"/>
      <c r="GK130" s="387"/>
      <c r="GL130" s="359"/>
      <c r="GM130" s="360"/>
      <c r="GN130" s="360"/>
      <c r="GO130" s="357"/>
      <c r="GP130" s="355"/>
      <c r="GQ130" s="360"/>
      <c r="GR130" s="357"/>
    </row>
    <row r="131" spans="1:200" ht="13.5" customHeight="1" x14ac:dyDescent="0.2">
      <c r="A131" s="357"/>
      <c r="B131" s="357"/>
      <c r="C131" s="357"/>
      <c r="D131" s="357"/>
      <c r="E131" s="357"/>
      <c r="F131" s="357"/>
      <c r="G131" s="357"/>
      <c r="H131" s="359"/>
      <c r="I131" s="359"/>
      <c r="J131" s="359"/>
      <c r="K131" s="359"/>
      <c r="L131" s="359"/>
      <c r="M131" s="357"/>
      <c r="N131" s="359"/>
      <c r="O131" s="357"/>
      <c r="P131" s="359"/>
      <c r="Q131" s="358"/>
      <c r="R131" s="355"/>
      <c r="S131" s="362"/>
      <c r="T131" s="362"/>
      <c r="U131" s="362"/>
      <c r="V131" s="362"/>
      <c r="W131" s="358"/>
      <c r="X131" s="357"/>
      <c r="Y131" s="354"/>
      <c r="Z131" s="380"/>
      <c r="AA131" s="354"/>
      <c r="AB131" s="354"/>
      <c r="AC131" s="357"/>
      <c r="AD131" s="354"/>
      <c r="AE131" s="369"/>
      <c r="AF131" s="380"/>
      <c r="AG131" s="357"/>
      <c r="AH131" s="357"/>
      <c r="AI131" s="354"/>
      <c r="AJ131" s="354"/>
      <c r="AK131" s="354"/>
      <c r="AL131" s="354"/>
      <c r="AM131" s="354"/>
      <c r="AN131" s="354"/>
      <c r="AO131" s="354"/>
      <c r="AP131" s="380"/>
      <c r="AQ131" s="380"/>
      <c r="AR131" s="354"/>
      <c r="AS131" s="354"/>
      <c r="AT131" s="354"/>
      <c r="AU131" s="357"/>
      <c r="AV131" s="381"/>
      <c r="AW131" s="380"/>
      <c r="AX131" s="380"/>
      <c r="AY131" s="369"/>
      <c r="AZ131" s="381"/>
      <c r="BA131" s="381"/>
      <c r="BB131" s="354"/>
      <c r="BC131" s="380"/>
      <c r="BD131" s="380"/>
      <c r="BE131" s="380"/>
      <c r="BF131" s="354"/>
      <c r="BG131" s="354"/>
      <c r="BH131" s="354"/>
      <c r="BI131" s="354"/>
      <c r="BJ131" s="354"/>
      <c r="BK131" s="354"/>
      <c r="BL131" s="354"/>
      <c r="BM131" s="354"/>
      <c r="BN131" s="354"/>
      <c r="BO131" s="357"/>
      <c r="BP131" s="357"/>
      <c r="BQ131" s="380"/>
      <c r="BR131" s="354"/>
      <c r="BS131" s="354"/>
      <c r="BT131" s="354"/>
      <c r="BU131" s="354"/>
      <c r="BV131" s="354"/>
      <c r="BW131" s="354"/>
      <c r="BX131" s="357"/>
      <c r="BY131" s="354"/>
      <c r="BZ131" s="357"/>
      <c r="CA131" s="357"/>
      <c r="CB131" s="357"/>
      <c r="CC131" s="354"/>
      <c r="CD131" s="381"/>
      <c r="CE131" s="393"/>
      <c r="CF131" s="393"/>
      <c r="CG131" s="393"/>
      <c r="CH131" s="393"/>
      <c r="CI131" s="393"/>
      <c r="CJ131" s="393"/>
      <c r="CK131" s="393"/>
      <c r="CL131" s="393"/>
      <c r="CM131" s="393"/>
      <c r="CN131" s="393"/>
      <c r="CO131" s="393"/>
      <c r="CP131" s="393"/>
      <c r="CQ131" s="393"/>
      <c r="CR131" s="393"/>
      <c r="CS131" s="393"/>
      <c r="CT131" s="393"/>
      <c r="CU131" s="393"/>
      <c r="CV131" s="393"/>
      <c r="CW131" s="393"/>
      <c r="CX131" s="393"/>
      <c r="CY131" s="393"/>
      <c r="CZ131" s="393"/>
      <c r="DA131" s="393"/>
      <c r="DB131" s="393"/>
      <c r="DC131" s="393"/>
      <c r="DD131" s="393"/>
      <c r="DE131" s="393"/>
      <c r="DF131" s="393"/>
      <c r="DG131" s="393"/>
      <c r="DH131" s="393"/>
      <c r="DI131" s="393"/>
      <c r="DJ131" s="393"/>
      <c r="DK131" s="393"/>
      <c r="DL131" s="393"/>
      <c r="DM131" s="393"/>
      <c r="DN131" s="393"/>
      <c r="DO131" s="393"/>
      <c r="DP131" s="393"/>
      <c r="DQ131" s="393"/>
      <c r="DR131" s="393"/>
      <c r="DS131" s="393"/>
      <c r="DT131" s="393"/>
      <c r="DU131" s="354"/>
      <c r="DV131" s="355"/>
      <c r="DW131" s="362"/>
      <c r="DX131" s="362"/>
      <c r="DY131" s="362"/>
      <c r="DZ131" s="362"/>
      <c r="EA131" s="362"/>
      <c r="EB131" s="362"/>
      <c r="EC131" s="359"/>
      <c r="ED131" s="362"/>
      <c r="EE131" s="362"/>
      <c r="EF131" s="362"/>
      <c r="EG131" s="359"/>
      <c r="EH131" s="362"/>
      <c r="EI131" s="362"/>
      <c r="EJ131" s="362"/>
      <c r="EK131" s="362"/>
      <c r="EL131" s="362"/>
      <c r="EM131" s="359"/>
      <c r="EN131" s="362"/>
      <c r="EO131" s="362"/>
      <c r="EP131" s="362"/>
      <c r="EQ131" s="362"/>
      <c r="ER131" s="362"/>
      <c r="ES131" s="359"/>
      <c r="ET131" s="354"/>
      <c r="EU131" s="357"/>
      <c r="EV131" s="357"/>
      <c r="EW131" s="359"/>
      <c r="EX131" s="390"/>
      <c r="EY131" s="357"/>
      <c r="EZ131" s="357"/>
      <c r="FA131" s="390"/>
      <c r="FB131" s="357"/>
      <c r="FC131" s="357"/>
      <c r="FD131" s="359"/>
      <c r="FE131" s="357"/>
      <c r="FF131" s="359"/>
      <c r="FG131" s="387"/>
      <c r="FH131" s="387"/>
      <c r="FI131" s="357"/>
      <c r="FJ131" s="357"/>
      <c r="FK131" s="359"/>
      <c r="FL131" s="359"/>
      <c r="FM131" s="358"/>
      <c r="FN131" s="357"/>
      <c r="FO131" s="359"/>
      <c r="FP131" s="357"/>
      <c r="FQ131" s="359"/>
      <c r="FR131" s="362"/>
      <c r="FS131" s="361"/>
      <c r="FT131" s="387"/>
      <c r="FU131" s="362"/>
      <c r="FV131" s="387"/>
      <c r="FW131" s="387"/>
      <c r="FX131" s="362"/>
      <c r="FY131" s="361"/>
      <c r="FZ131" s="387"/>
      <c r="GA131" s="361"/>
      <c r="GB131" s="355"/>
      <c r="GC131" s="355"/>
      <c r="GD131" s="362"/>
      <c r="GE131" s="355"/>
      <c r="GF131" s="355"/>
      <c r="GG131" s="355"/>
      <c r="GH131" s="359"/>
      <c r="GI131" s="359"/>
      <c r="GJ131" s="357"/>
      <c r="GK131" s="387"/>
      <c r="GL131" s="361"/>
      <c r="GM131" s="357"/>
      <c r="GN131" s="357"/>
      <c r="GO131" s="357"/>
      <c r="GP131" s="387"/>
      <c r="GQ131" s="361"/>
      <c r="GR131" s="355"/>
    </row>
    <row r="132" spans="1:200" ht="13.5" customHeight="1" x14ac:dyDescent="0.2">
      <c r="A132" s="357"/>
      <c r="B132" s="390"/>
      <c r="C132" s="357"/>
      <c r="D132" s="357"/>
      <c r="E132" s="357"/>
      <c r="F132" s="357"/>
      <c r="G132" s="359"/>
      <c r="H132" s="359"/>
      <c r="I132" s="359"/>
      <c r="J132" s="359"/>
      <c r="K132" s="359"/>
      <c r="L132" s="357"/>
      <c r="M132" s="357"/>
      <c r="N132" s="357"/>
      <c r="O132" s="357"/>
      <c r="P132" s="358"/>
      <c r="Q132" s="358"/>
      <c r="R132" s="359"/>
      <c r="S132" s="359"/>
      <c r="T132" s="359"/>
      <c r="U132" s="362"/>
      <c r="V132" s="358"/>
      <c r="W132" s="358"/>
      <c r="X132" s="357"/>
      <c r="Y132" s="354"/>
      <c r="Z132" s="390"/>
      <c r="AA132" s="354"/>
      <c r="AB132" s="357"/>
      <c r="AC132" s="354"/>
      <c r="AD132" s="354"/>
      <c r="AE132" s="390"/>
      <c r="AF132" s="380"/>
      <c r="AG132" s="357"/>
      <c r="AH132" s="357"/>
      <c r="AI132" s="357"/>
      <c r="AJ132" s="354"/>
      <c r="AK132" s="354"/>
      <c r="AL132" s="354"/>
      <c r="AM132" s="367"/>
      <c r="AN132" s="354"/>
      <c r="AO132" s="380"/>
      <c r="AP132" s="354"/>
      <c r="AQ132" s="390"/>
      <c r="AR132" s="354"/>
      <c r="AS132" s="354"/>
      <c r="AT132" s="354"/>
      <c r="AU132" s="354"/>
      <c r="AV132" s="354"/>
      <c r="AW132" s="380"/>
      <c r="AX132" s="354"/>
      <c r="AY132" s="390"/>
      <c r="AZ132" s="354"/>
      <c r="BA132" s="354"/>
      <c r="BB132" s="381"/>
      <c r="BC132" s="381"/>
      <c r="BD132" s="381"/>
      <c r="BE132" s="354"/>
      <c r="BF132" s="354"/>
      <c r="BG132" s="354"/>
      <c r="BH132" s="354"/>
      <c r="BI132" s="354"/>
      <c r="BJ132" s="354"/>
      <c r="BK132" s="354"/>
      <c r="BL132" s="354"/>
      <c r="BM132" s="354"/>
      <c r="BN132" s="354"/>
      <c r="BO132" s="354"/>
      <c r="BP132" s="357"/>
      <c r="BQ132" s="380"/>
      <c r="BR132" s="390"/>
      <c r="BS132" s="354"/>
      <c r="BT132" s="354"/>
      <c r="BU132" s="354"/>
      <c r="BV132" s="354"/>
      <c r="BW132" s="354"/>
      <c r="BX132" s="381"/>
      <c r="BY132" s="390"/>
      <c r="BZ132" s="357"/>
      <c r="CA132" s="357"/>
      <c r="CB132" s="354"/>
      <c r="CC132" s="354"/>
      <c r="CD132" s="393"/>
      <c r="CE132" s="393"/>
      <c r="CF132" s="393"/>
      <c r="CG132" s="393"/>
      <c r="CH132" s="393"/>
      <c r="CI132" s="393"/>
      <c r="CJ132" s="393"/>
      <c r="CK132" s="393"/>
      <c r="CL132" s="393"/>
      <c r="CM132" s="393"/>
      <c r="CN132" s="393"/>
      <c r="CO132" s="393"/>
      <c r="CP132" s="393"/>
      <c r="CQ132" s="393"/>
      <c r="CR132" s="393"/>
      <c r="CS132" s="393"/>
      <c r="CT132" s="393"/>
      <c r="CU132" s="393"/>
      <c r="CV132" s="393"/>
      <c r="CW132" s="393"/>
      <c r="CX132" s="393"/>
      <c r="CY132" s="393"/>
      <c r="CZ132" s="393"/>
      <c r="DA132" s="393"/>
      <c r="DB132" s="393"/>
      <c r="DC132" s="393"/>
      <c r="DD132" s="393"/>
      <c r="DE132" s="393"/>
      <c r="DF132" s="393"/>
      <c r="DG132" s="393"/>
      <c r="DH132" s="393"/>
      <c r="DI132" s="393"/>
      <c r="DJ132" s="393"/>
      <c r="DK132" s="393"/>
      <c r="DL132" s="393"/>
      <c r="DM132" s="393"/>
      <c r="DN132" s="393"/>
      <c r="DO132" s="393"/>
      <c r="DP132" s="393"/>
      <c r="DQ132" s="393"/>
      <c r="DR132" s="393"/>
      <c r="DS132" s="393"/>
      <c r="DT132" s="393"/>
      <c r="DU132" s="354"/>
      <c r="DV132" s="354"/>
      <c r="DW132" s="362"/>
      <c r="DX132" s="357"/>
      <c r="DY132" s="359"/>
      <c r="DZ132" s="362"/>
      <c r="EA132" s="362"/>
      <c r="EB132" s="362"/>
      <c r="EC132" s="362"/>
      <c r="ED132" s="362"/>
      <c r="EE132" s="362"/>
      <c r="EF132" s="362"/>
      <c r="EG132" s="362"/>
      <c r="EH132" s="359"/>
      <c r="EI132" s="359"/>
      <c r="EJ132" s="359"/>
      <c r="EK132" s="359"/>
      <c r="EL132" s="359"/>
      <c r="EM132" s="359"/>
      <c r="EN132" s="362"/>
      <c r="EO132" s="359"/>
      <c r="EP132" s="359"/>
      <c r="EQ132" s="359"/>
      <c r="ER132" s="359"/>
      <c r="ES132" s="359"/>
      <c r="ET132" s="359"/>
      <c r="EU132" s="357"/>
      <c r="EV132" s="357"/>
      <c r="EW132" s="357"/>
      <c r="EX132" s="357"/>
      <c r="EY132" s="357"/>
      <c r="EZ132" s="357"/>
      <c r="FA132" s="357"/>
      <c r="FB132" s="357"/>
      <c r="FC132" s="357"/>
      <c r="FD132" s="357"/>
      <c r="FE132" s="357"/>
      <c r="FF132" s="359"/>
      <c r="FG132" s="362"/>
      <c r="FH132" s="387"/>
      <c r="FI132" s="359"/>
      <c r="FJ132" s="354"/>
      <c r="FK132" s="355"/>
      <c r="FL132" s="359"/>
      <c r="FM132" s="359"/>
      <c r="FN132" s="355"/>
      <c r="FO132" s="362"/>
      <c r="FP132" s="362"/>
      <c r="FQ132" s="359"/>
      <c r="FR132" s="359"/>
      <c r="FS132" s="357"/>
      <c r="FT132" s="357"/>
      <c r="FU132" s="387"/>
      <c r="FV132" s="387"/>
      <c r="FW132" s="362"/>
      <c r="FX132" s="359"/>
      <c r="FY132" s="355"/>
      <c r="FZ132" s="361"/>
      <c r="GA132" s="361"/>
      <c r="GB132" s="355"/>
      <c r="GC132" s="361"/>
      <c r="GD132" s="362"/>
      <c r="GE132" s="362"/>
      <c r="GF132" s="362"/>
      <c r="GG132" s="362"/>
      <c r="GH132" s="358"/>
      <c r="GI132" s="357"/>
      <c r="GJ132" s="357"/>
      <c r="GK132" s="355"/>
      <c r="GL132" s="362"/>
      <c r="GM132" s="358"/>
      <c r="GN132" s="361"/>
      <c r="GO132" s="361"/>
      <c r="GP132" s="357"/>
      <c r="GQ132" s="355"/>
      <c r="GR132" s="359"/>
    </row>
    <row r="133" spans="1:200" ht="13.5" customHeight="1" x14ac:dyDescent="0.2">
      <c r="A133" s="357"/>
      <c r="B133" s="357"/>
      <c r="C133" s="357"/>
      <c r="D133" s="357"/>
      <c r="E133" s="357"/>
      <c r="F133" s="357"/>
      <c r="G133" s="357"/>
      <c r="H133" s="359"/>
      <c r="I133" s="359"/>
      <c r="J133" s="359"/>
      <c r="K133" s="359"/>
      <c r="L133" s="358"/>
      <c r="M133" s="359"/>
      <c r="N133" s="359"/>
      <c r="O133" s="357"/>
      <c r="P133" s="357"/>
      <c r="Q133" s="357"/>
      <c r="R133" s="358"/>
      <c r="S133" s="358"/>
      <c r="T133" s="362"/>
      <c r="U133" s="362"/>
      <c r="V133" s="362"/>
      <c r="W133" s="357"/>
      <c r="X133" s="357"/>
      <c r="Y133" s="354"/>
      <c r="Z133" s="354"/>
      <c r="AA133" s="354"/>
      <c r="AB133" s="354"/>
      <c r="AC133" s="354"/>
      <c r="AD133" s="390"/>
      <c r="AE133" s="380"/>
      <c r="AF133" s="390"/>
      <c r="AG133" s="357"/>
      <c r="AH133" s="357"/>
      <c r="AI133" s="380"/>
      <c r="AJ133" s="380"/>
      <c r="AK133" s="354"/>
      <c r="AL133" s="354"/>
      <c r="AM133" s="354"/>
      <c r="AN133" s="380"/>
      <c r="AO133" s="380"/>
      <c r="AP133" s="380"/>
      <c r="AQ133" s="390"/>
      <c r="AR133" s="354"/>
      <c r="AS133" s="354"/>
      <c r="AT133" s="390"/>
      <c r="AU133" s="354"/>
      <c r="AV133" s="357"/>
      <c r="AW133" s="357"/>
      <c r="AX133" s="354"/>
      <c r="AY133" s="354"/>
      <c r="AZ133" s="354"/>
      <c r="BA133" s="354"/>
      <c r="BB133" s="369"/>
      <c r="BC133" s="381"/>
      <c r="BD133" s="381"/>
      <c r="BE133" s="381"/>
      <c r="BF133" s="380"/>
      <c r="BG133" s="354"/>
      <c r="BH133" s="354"/>
      <c r="BI133" s="354"/>
      <c r="BJ133" s="354"/>
      <c r="BK133" s="354"/>
      <c r="BL133" s="354"/>
      <c r="BM133" s="354"/>
      <c r="BN133" s="380"/>
      <c r="BO133" s="354"/>
      <c r="BP133" s="357"/>
      <c r="BQ133" s="380"/>
      <c r="BR133" s="380"/>
      <c r="BS133" s="354"/>
      <c r="BT133" s="354"/>
      <c r="BU133" s="354"/>
      <c r="BV133" s="354"/>
      <c r="BW133" s="380"/>
      <c r="BX133" s="381"/>
      <c r="BY133" s="367"/>
      <c r="BZ133" s="357"/>
      <c r="CA133" s="357"/>
      <c r="CB133" s="354"/>
      <c r="CC133" s="354"/>
      <c r="CD133" s="393"/>
      <c r="CE133" s="393"/>
      <c r="CF133" s="393"/>
      <c r="CG133" s="393"/>
      <c r="CH133" s="393"/>
      <c r="CI133" s="393"/>
      <c r="CJ133" s="393"/>
      <c r="CK133" s="393"/>
      <c r="CL133" s="393"/>
      <c r="CM133" s="393"/>
      <c r="CN133" s="393"/>
      <c r="CO133" s="393"/>
      <c r="CP133" s="393"/>
      <c r="CQ133" s="393"/>
      <c r="CR133" s="393"/>
      <c r="CS133" s="393"/>
      <c r="CT133" s="393"/>
      <c r="CU133" s="393"/>
      <c r="CV133" s="393"/>
      <c r="CW133" s="393"/>
      <c r="CX133" s="393"/>
      <c r="CY133" s="393"/>
      <c r="CZ133" s="393"/>
      <c r="DA133" s="393"/>
      <c r="DB133" s="393"/>
      <c r="DC133" s="393"/>
      <c r="DD133" s="393"/>
      <c r="DE133" s="393"/>
      <c r="DF133" s="393"/>
      <c r="DG133" s="393"/>
      <c r="DH133" s="393"/>
      <c r="DI133" s="393"/>
      <c r="DJ133" s="393"/>
      <c r="DK133" s="393"/>
      <c r="DL133" s="393"/>
      <c r="DM133" s="393"/>
      <c r="DN133" s="393"/>
      <c r="DO133" s="393"/>
      <c r="DP133" s="393"/>
      <c r="DQ133" s="393"/>
      <c r="DR133" s="393"/>
      <c r="DS133" s="393"/>
      <c r="DT133" s="393"/>
      <c r="DU133" s="354"/>
      <c r="DV133" s="354"/>
      <c r="DW133" s="354"/>
      <c r="DX133" s="357"/>
      <c r="DY133" s="362"/>
      <c r="DZ133" s="362"/>
      <c r="EA133" s="362"/>
      <c r="EB133" s="362"/>
      <c r="EC133" s="362"/>
      <c r="ED133" s="362"/>
      <c r="EE133" s="362"/>
      <c r="EF133" s="362"/>
      <c r="EG133" s="361"/>
      <c r="EH133" s="362"/>
      <c r="EI133" s="358"/>
      <c r="EJ133" s="362"/>
      <c r="EK133" s="362"/>
      <c r="EL133" s="361"/>
      <c r="EM133" s="362"/>
      <c r="EN133" s="362"/>
      <c r="EO133" s="355"/>
      <c r="EP133" s="355"/>
      <c r="EQ133" s="359"/>
      <c r="ER133" s="358"/>
      <c r="ES133" s="362"/>
      <c r="ET133" s="362"/>
      <c r="EU133" s="355"/>
      <c r="EV133" s="359"/>
      <c r="EW133" s="359"/>
      <c r="EX133" s="358"/>
      <c r="EY133" s="354"/>
      <c r="EZ133" s="359"/>
      <c r="FA133" s="362"/>
      <c r="FB133" s="359"/>
      <c r="FC133" s="357"/>
      <c r="FD133" s="357"/>
      <c r="FE133" s="357"/>
      <c r="FF133" s="359"/>
      <c r="FG133" s="362"/>
      <c r="FH133" s="362"/>
      <c r="FI133" s="362"/>
      <c r="FJ133" s="357"/>
      <c r="FK133" s="359"/>
      <c r="FL133" s="359"/>
      <c r="FM133" s="362"/>
      <c r="FN133" s="362"/>
      <c r="FO133" s="362"/>
      <c r="FP133" s="362"/>
      <c r="FQ133" s="362"/>
      <c r="FR133" s="355"/>
      <c r="FS133" s="360"/>
      <c r="FT133" s="361"/>
      <c r="FU133" s="362"/>
      <c r="FV133" s="362"/>
      <c r="FW133" s="359"/>
      <c r="FX133" s="357"/>
      <c r="FY133" s="361"/>
      <c r="FZ133" s="355"/>
      <c r="GA133" s="355"/>
      <c r="GB133" s="355"/>
      <c r="GC133" s="355"/>
      <c r="GD133" s="361"/>
      <c r="GE133" s="362"/>
      <c r="GF133" s="355"/>
      <c r="GG133" s="355"/>
      <c r="GH133" s="355"/>
      <c r="GI133" s="357"/>
      <c r="GJ133" s="357"/>
      <c r="GK133" s="361"/>
      <c r="GL133" s="362"/>
      <c r="GM133" s="357"/>
      <c r="GN133" s="361"/>
      <c r="GO133" s="359"/>
      <c r="GP133" s="355"/>
      <c r="GQ133" s="390"/>
      <c r="GR133" s="390"/>
    </row>
    <row r="134" spans="1:200" ht="13.5" customHeight="1" x14ac:dyDescent="0.2">
      <c r="A134" s="359"/>
      <c r="B134" s="359"/>
      <c r="C134" s="354"/>
      <c r="D134" s="354"/>
      <c r="E134" s="357"/>
      <c r="F134" s="357"/>
      <c r="G134" s="357"/>
      <c r="H134" s="357"/>
      <c r="I134" s="359"/>
      <c r="J134" s="359"/>
      <c r="K134" s="359"/>
      <c r="L134" s="359"/>
      <c r="M134" s="357"/>
      <c r="N134" s="357"/>
      <c r="O134" s="354"/>
      <c r="P134" s="355"/>
      <c r="Q134" s="355"/>
      <c r="R134" s="359"/>
      <c r="S134" s="358"/>
      <c r="T134" s="362"/>
      <c r="U134" s="362"/>
      <c r="V134" s="362"/>
      <c r="W134" s="390"/>
      <c r="X134" s="357"/>
      <c r="Y134" s="357"/>
      <c r="Z134" s="354"/>
      <c r="AA134" s="354"/>
      <c r="AB134" s="354"/>
      <c r="AC134" s="354"/>
      <c r="AD134" s="380"/>
      <c r="AE134" s="380"/>
      <c r="AF134" s="369"/>
      <c r="AG134" s="354"/>
      <c r="AH134" s="357"/>
      <c r="AI134" s="357"/>
      <c r="AJ134" s="380"/>
      <c r="AK134" s="380"/>
      <c r="AL134" s="354"/>
      <c r="AM134" s="380"/>
      <c r="AN134" s="354"/>
      <c r="AO134" s="380"/>
      <c r="AP134" s="369"/>
      <c r="AQ134" s="369"/>
      <c r="AR134" s="354"/>
      <c r="AS134" s="354"/>
      <c r="AT134" s="380"/>
      <c r="AU134" s="354"/>
      <c r="AV134" s="380"/>
      <c r="AW134" s="357"/>
      <c r="AX134" s="354"/>
      <c r="AY134" s="354"/>
      <c r="AZ134" s="369"/>
      <c r="BA134" s="354"/>
      <c r="BB134" s="355"/>
      <c r="BC134" s="380"/>
      <c r="BD134" s="380"/>
      <c r="BE134" s="381"/>
      <c r="BF134" s="380"/>
      <c r="BG134" s="354"/>
      <c r="BH134" s="354"/>
      <c r="BI134" s="357"/>
      <c r="BJ134" s="354"/>
      <c r="BK134" s="354"/>
      <c r="BL134" s="354"/>
      <c r="BM134" s="354"/>
      <c r="BN134" s="357"/>
      <c r="BO134" s="354"/>
      <c r="BP134" s="354"/>
      <c r="BQ134" s="380"/>
      <c r="BR134" s="380"/>
      <c r="BS134" s="354"/>
      <c r="BT134" s="354"/>
      <c r="BU134" s="357"/>
      <c r="BV134" s="354"/>
      <c r="BW134" s="380"/>
      <c r="BX134" s="381"/>
      <c r="BY134" s="380"/>
      <c r="BZ134" s="367"/>
      <c r="CA134" s="357"/>
      <c r="CB134" s="354"/>
      <c r="CC134" s="354"/>
      <c r="CD134" s="393"/>
      <c r="CE134" s="393"/>
      <c r="CF134" s="393"/>
      <c r="CG134" s="393"/>
      <c r="CH134" s="393"/>
      <c r="CI134" s="393"/>
      <c r="CJ134" s="393"/>
      <c r="CK134" s="393"/>
      <c r="CL134" s="393"/>
      <c r="CM134" s="393"/>
      <c r="CN134" s="393"/>
      <c r="CO134" s="393"/>
      <c r="CP134" s="393"/>
      <c r="CQ134" s="393"/>
      <c r="CR134" s="393"/>
      <c r="CS134" s="393"/>
      <c r="CT134" s="393"/>
      <c r="CU134" s="393"/>
      <c r="CV134" s="393"/>
      <c r="CW134" s="393"/>
      <c r="CX134" s="393"/>
      <c r="CY134" s="393"/>
      <c r="CZ134" s="393"/>
      <c r="DA134" s="393"/>
      <c r="DB134" s="393"/>
      <c r="DC134" s="393"/>
      <c r="DD134" s="393"/>
      <c r="DE134" s="393"/>
      <c r="DF134" s="393"/>
      <c r="DG134" s="393"/>
      <c r="DH134" s="393"/>
      <c r="DI134" s="393"/>
      <c r="DJ134" s="393"/>
      <c r="DK134" s="393"/>
      <c r="DL134" s="393"/>
      <c r="DM134" s="393"/>
      <c r="DN134" s="393"/>
      <c r="DO134" s="393"/>
      <c r="DP134" s="393"/>
      <c r="DQ134" s="393"/>
      <c r="DR134" s="393"/>
      <c r="DS134" s="393"/>
      <c r="DT134" s="393"/>
      <c r="DU134" s="354"/>
      <c r="DV134" s="354"/>
      <c r="DW134" s="354"/>
      <c r="DX134" s="357"/>
      <c r="DY134" s="361"/>
      <c r="DZ134" s="359"/>
      <c r="EA134" s="362"/>
      <c r="EB134" s="362"/>
      <c r="EC134" s="355"/>
      <c r="ED134" s="358"/>
      <c r="EE134" s="359"/>
      <c r="EF134" s="362"/>
      <c r="EG134" s="362"/>
      <c r="EH134" s="362"/>
      <c r="EI134" s="362"/>
      <c r="EJ134" s="362"/>
      <c r="EK134" s="362"/>
      <c r="EL134" s="362"/>
      <c r="EM134" s="362"/>
      <c r="EN134" s="357"/>
      <c r="EO134" s="359"/>
      <c r="EP134" s="357"/>
      <c r="EQ134" s="357"/>
      <c r="ER134" s="359"/>
      <c r="ES134" s="358"/>
      <c r="ET134" s="359"/>
      <c r="EU134" s="358"/>
      <c r="EV134" s="358"/>
      <c r="EW134" s="358"/>
      <c r="EX134" s="390"/>
      <c r="EY134" s="357"/>
      <c r="EZ134" s="357"/>
      <c r="FA134" s="362"/>
      <c r="FB134" s="362"/>
      <c r="FC134" s="358"/>
      <c r="FD134" s="359"/>
      <c r="FE134" s="359"/>
      <c r="FF134" s="362"/>
      <c r="FG134" s="362"/>
      <c r="FH134" s="362"/>
      <c r="FI134" s="362"/>
      <c r="FJ134" s="359"/>
      <c r="FK134" s="359"/>
      <c r="FL134" s="362"/>
      <c r="FM134" s="358"/>
      <c r="FN134" s="362"/>
      <c r="FO134" s="362"/>
      <c r="FP134" s="359"/>
      <c r="FQ134" s="362"/>
      <c r="FR134" s="361"/>
      <c r="FS134" s="359"/>
      <c r="FT134" s="359"/>
      <c r="FU134" s="362"/>
      <c r="FV134" s="361"/>
      <c r="FW134" s="359"/>
      <c r="FX134" s="358"/>
      <c r="FY134" s="359"/>
      <c r="FZ134" s="355"/>
      <c r="GA134" s="355"/>
      <c r="GB134" s="362"/>
      <c r="GC134" s="355"/>
      <c r="GD134" s="355"/>
      <c r="GE134" s="355"/>
      <c r="GF134" s="355"/>
      <c r="GG134" s="387"/>
      <c r="GH134" s="387"/>
      <c r="GI134" s="357"/>
      <c r="GJ134" s="357"/>
      <c r="GK134" s="357"/>
      <c r="GL134" s="361"/>
      <c r="GM134" s="357"/>
      <c r="GN134" s="359"/>
      <c r="GO134" s="358"/>
      <c r="GP134" s="358"/>
      <c r="GQ134" s="390"/>
      <c r="GR134" s="360"/>
    </row>
    <row r="135" spans="1:200" ht="13.5" customHeight="1" x14ac:dyDescent="0.2">
      <c r="A135" s="359"/>
      <c r="B135" s="359"/>
      <c r="C135" s="390"/>
      <c r="D135" s="357"/>
      <c r="E135" s="390"/>
      <c r="F135" s="359"/>
      <c r="G135" s="397"/>
      <c r="H135" s="363"/>
      <c r="I135" s="354"/>
      <c r="J135" s="354"/>
      <c r="K135" s="357"/>
      <c r="L135" s="357"/>
      <c r="M135" s="357"/>
      <c r="N135" s="390"/>
      <c r="O135" s="355"/>
      <c r="P135" s="359"/>
      <c r="Q135" s="359"/>
      <c r="R135" s="358"/>
      <c r="S135" s="358"/>
      <c r="T135" s="362"/>
      <c r="U135" s="362"/>
      <c r="V135" s="362"/>
      <c r="W135" s="357"/>
      <c r="X135" s="380"/>
      <c r="Y135" s="380"/>
      <c r="Z135" s="354"/>
      <c r="AA135" s="390"/>
      <c r="AB135" s="354"/>
      <c r="AC135" s="354"/>
      <c r="AD135" s="380"/>
      <c r="AE135" s="380"/>
      <c r="AF135" s="369"/>
      <c r="AG135" s="354"/>
      <c r="AH135" s="354"/>
      <c r="AI135" s="354"/>
      <c r="AJ135" s="380"/>
      <c r="AK135" s="357"/>
      <c r="AL135" s="380"/>
      <c r="AM135" s="354"/>
      <c r="AN135" s="354"/>
      <c r="AO135" s="380"/>
      <c r="AP135" s="369"/>
      <c r="AQ135" s="369"/>
      <c r="AR135" s="354"/>
      <c r="AS135" s="357"/>
      <c r="AT135" s="357"/>
      <c r="AU135" s="381"/>
      <c r="AV135" s="380"/>
      <c r="AW135" s="354"/>
      <c r="AX135" s="380"/>
      <c r="AY135" s="354"/>
      <c r="AZ135" s="380"/>
      <c r="BA135" s="354"/>
      <c r="BB135" s="354"/>
      <c r="BC135" s="354"/>
      <c r="BD135" s="380"/>
      <c r="BE135" s="381"/>
      <c r="BF135" s="380"/>
      <c r="BG135" s="354"/>
      <c r="BH135" s="354"/>
      <c r="BI135" s="357"/>
      <c r="BJ135" s="380"/>
      <c r="BK135" s="354"/>
      <c r="BL135" s="380"/>
      <c r="BM135" s="354"/>
      <c r="BN135" s="354"/>
      <c r="BO135" s="354"/>
      <c r="BP135" s="354"/>
      <c r="BQ135" s="380"/>
      <c r="BR135" s="380"/>
      <c r="BS135" s="354"/>
      <c r="BT135" s="354"/>
      <c r="BU135" s="354"/>
      <c r="BV135" s="354"/>
      <c r="BW135" s="357"/>
      <c r="BX135" s="380"/>
      <c r="BY135" s="369"/>
      <c r="BZ135" s="380"/>
      <c r="CA135" s="354"/>
      <c r="CB135" s="354"/>
      <c r="CC135" s="354"/>
      <c r="CD135" s="393"/>
      <c r="CE135" s="393"/>
      <c r="CF135" s="393"/>
      <c r="CG135" s="393"/>
      <c r="CH135" s="393"/>
      <c r="CI135" s="393"/>
      <c r="CJ135" s="393"/>
      <c r="CK135" s="393"/>
      <c r="CL135" s="393"/>
      <c r="CM135" s="393"/>
      <c r="CN135" s="393"/>
      <c r="CO135" s="393"/>
      <c r="CP135" s="393"/>
      <c r="CQ135" s="393"/>
      <c r="CR135" s="393"/>
      <c r="CS135" s="393"/>
      <c r="CT135" s="393"/>
      <c r="CU135" s="393"/>
      <c r="CV135" s="393"/>
      <c r="CW135" s="393"/>
      <c r="CX135" s="393"/>
      <c r="CY135" s="393"/>
      <c r="CZ135" s="393"/>
      <c r="DA135" s="393"/>
      <c r="DB135" s="393"/>
      <c r="DC135" s="393"/>
      <c r="DD135" s="393"/>
      <c r="DE135" s="393"/>
      <c r="DF135" s="393"/>
      <c r="DG135" s="393"/>
      <c r="DH135" s="393"/>
      <c r="DI135" s="393"/>
      <c r="DJ135" s="354"/>
      <c r="DK135" s="393"/>
      <c r="DL135" s="393"/>
      <c r="DM135" s="393"/>
      <c r="DN135" s="393"/>
      <c r="DO135" s="393"/>
      <c r="DP135" s="393"/>
      <c r="DQ135" s="393"/>
      <c r="DR135" s="393"/>
      <c r="DS135" s="393"/>
      <c r="DT135" s="393"/>
      <c r="DU135" s="354"/>
      <c r="DV135" s="354"/>
      <c r="DW135" s="354"/>
      <c r="DX135" s="354"/>
      <c r="DY135" s="361"/>
      <c r="DZ135" s="358"/>
      <c r="EA135" s="358"/>
      <c r="EB135" s="358"/>
      <c r="EC135" s="362"/>
      <c r="ED135" s="357"/>
      <c r="EE135" s="359"/>
      <c r="EF135" s="358"/>
      <c r="EG135" s="361"/>
      <c r="EH135" s="357"/>
      <c r="EI135" s="354"/>
      <c r="EJ135" s="357"/>
      <c r="EK135" s="359"/>
      <c r="EL135" s="359"/>
      <c r="EM135" s="354"/>
      <c r="EN135" s="354"/>
      <c r="EO135" s="354"/>
      <c r="EP135" s="357"/>
      <c r="EQ135" s="358"/>
      <c r="ER135" s="354"/>
      <c r="ES135" s="363"/>
      <c r="ET135" s="363"/>
      <c r="EU135" s="363"/>
      <c r="EV135" s="357"/>
      <c r="EW135" s="355"/>
      <c r="EX135" s="355"/>
      <c r="EY135" s="357"/>
      <c r="EZ135" s="354"/>
      <c r="FA135" s="354"/>
      <c r="FB135" s="354"/>
      <c r="FC135" s="354"/>
      <c r="FD135" s="357"/>
      <c r="FE135" s="359"/>
      <c r="FF135" s="359"/>
      <c r="FG135" s="362"/>
      <c r="FH135" s="362"/>
      <c r="FI135" s="359"/>
      <c r="FJ135" s="359"/>
      <c r="FK135" s="359"/>
      <c r="FL135" s="358"/>
      <c r="FM135" s="359"/>
      <c r="FN135" s="362"/>
      <c r="FO135" s="359"/>
      <c r="FP135" s="359"/>
      <c r="FQ135" s="355"/>
      <c r="FR135" s="359"/>
      <c r="FS135" s="357"/>
      <c r="FT135" s="361"/>
      <c r="FU135" s="360"/>
      <c r="FV135" s="361"/>
      <c r="FW135" s="387"/>
      <c r="FX135" s="357"/>
      <c r="FY135" s="357"/>
      <c r="FZ135" s="387"/>
      <c r="GA135" s="355"/>
      <c r="GB135" s="358"/>
      <c r="GC135" s="355"/>
      <c r="GD135" s="357"/>
      <c r="GE135" s="357"/>
      <c r="GF135" s="357"/>
      <c r="GG135" s="357"/>
      <c r="GH135" s="354"/>
      <c r="GI135" s="357"/>
      <c r="GJ135" s="354"/>
      <c r="GK135" s="356"/>
      <c r="GL135" s="361"/>
      <c r="GM135" s="358"/>
      <c r="GN135" s="358"/>
      <c r="GO135" s="362"/>
      <c r="GP135" s="362"/>
      <c r="GQ135" s="361"/>
      <c r="GR135" s="361"/>
    </row>
    <row r="136" spans="1:200" ht="13.5" customHeight="1" x14ac:dyDescent="0.2">
      <c r="A136" s="358"/>
      <c r="B136" s="357"/>
      <c r="C136" s="367"/>
      <c r="D136" s="367"/>
      <c r="E136" s="387"/>
      <c r="F136" s="387"/>
      <c r="G136" s="367"/>
      <c r="H136" s="367"/>
      <c r="I136" s="367"/>
      <c r="J136" s="363"/>
      <c r="K136" s="355"/>
      <c r="L136" s="358"/>
      <c r="M136" s="358"/>
      <c r="N136" s="359"/>
      <c r="O136" s="390"/>
      <c r="P136" s="355"/>
      <c r="Q136" s="355"/>
      <c r="R136" s="355"/>
      <c r="S136" s="358"/>
      <c r="T136" s="362"/>
      <c r="U136" s="362"/>
      <c r="V136" s="362"/>
      <c r="W136" s="357"/>
      <c r="X136" s="390"/>
      <c r="Y136" s="380"/>
      <c r="Z136" s="354"/>
      <c r="AA136" s="380"/>
      <c r="AB136" s="354"/>
      <c r="AC136" s="357"/>
      <c r="AD136" s="357"/>
      <c r="AE136" s="380"/>
      <c r="AF136" s="369"/>
      <c r="AG136" s="354"/>
      <c r="AH136" s="354"/>
      <c r="AI136" s="354"/>
      <c r="AJ136" s="354"/>
      <c r="AK136" s="357"/>
      <c r="AL136" s="357"/>
      <c r="AM136" s="354"/>
      <c r="AN136" s="357"/>
      <c r="AO136" s="354"/>
      <c r="AP136" s="380"/>
      <c r="AQ136" s="380"/>
      <c r="AR136" s="357"/>
      <c r="AS136" s="380"/>
      <c r="AT136" s="380"/>
      <c r="AU136" s="381"/>
      <c r="AV136" s="380"/>
      <c r="AW136" s="354"/>
      <c r="AX136" s="380"/>
      <c r="AY136" s="354"/>
      <c r="AZ136" s="380"/>
      <c r="BA136" s="354"/>
      <c r="BB136" s="354"/>
      <c r="BC136" s="354"/>
      <c r="BD136" s="354"/>
      <c r="BE136" s="380"/>
      <c r="BF136" s="380"/>
      <c r="BG136" s="357"/>
      <c r="BH136" s="354"/>
      <c r="BI136" s="380"/>
      <c r="BJ136" s="354"/>
      <c r="BK136" s="354"/>
      <c r="BL136" s="380"/>
      <c r="BM136" s="354"/>
      <c r="BN136" s="354"/>
      <c r="BO136" s="354"/>
      <c r="BP136" s="354"/>
      <c r="BQ136" s="380"/>
      <c r="BR136" s="380"/>
      <c r="BS136" s="354"/>
      <c r="BT136" s="357"/>
      <c r="BU136" s="354"/>
      <c r="BV136" s="354"/>
      <c r="BW136" s="380"/>
      <c r="BX136" s="380"/>
      <c r="BY136" s="380"/>
      <c r="BZ136" s="354"/>
      <c r="CA136" s="354"/>
      <c r="CB136" s="354"/>
      <c r="CC136" s="354"/>
      <c r="CD136" s="381"/>
      <c r="CE136" s="393"/>
      <c r="CF136" s="393"/>
      <c r="CG136" s="393"/>
      <c r="CH136" s="354"/>
      <c r="CI136" s="354"/>
      <c r="CJ136" s="354"/>
      <c r="CK136" s="354"/>
      <c r="CL136" s="354"/>
      <c r="CM136" s="354"/>
      <c r="CN136" s="354"/>
      <c r="CO136" s="354"/>
      <c r="CP136" s="354"/>
      <c r="CQ136" s="354"/>
      <c r="CR136" s="354"/>
      <c r="CS136" s="354"/>
      <c r="CT136" s="354"/>
      <c r="CU136" s="354"/>
      <c r="CV136" s="354"/>
      <c r="CW136" s="354"/>
      <c r="CX136" s="354"/>
      <c r="CY136" s="393"/>
      <c r="CZ136" s="393"/>
      <c r="DA136" s="393"/>
      <c r="DB136" s="354"/>
      <c r="DC136" s="354"/>
      <c r="DD136" s="354"/>
      <c r="DE136" s="354"/>
      <c r="DF136" s="354"/>
      <c r="DG136" s="354"/>
      <c r="DH136" s="354"/>
      <c r="DI136" s="354"/>
      <c r="DJ136" s="354"/>
      <c r="DK136" s="354"/>
      <c r="DL136" s="354"/>
      <c r="DM136" s="354"/>
      <c r="DN136" s="354"/>
      <c r="DO136" s="354"/>
      <c r="DP136" s="354"/>
      <c r="DQ136" s="354"/>
      <c r="DR136" s="354"/>
      <c r="DS136" s="354"/>
      <c r="DT136" s="354"/>
      <c r="DU136" s="354"/>
      <c r="DV136" s="354"/>
      <c r="DW136" s="357"/>
      <c r="DX136" s="354"/>
      <c r="DY136" s="362"/>
      <c r="DZ136" s="361"/>
      <c r="EA136" s="359"/>
      <c r="EB136" s="358"/>
      <c r="EC136" s="359"/>
      <c r="ED136" s="357"/>
      <c r="EE136" s="357"/>
      <c r="EF136" s="359"/>
      <c r="EG136" s="357"/>
      <c r="EH136" s="357"/>
      <c r="EI136" s="357"/>
      <c r="EJ136" s="357"/>
      <c r="EK136" s="357"/>
      <c r="EL136" s="357"/>
      <c r="EM136" s="357"/>
      <c r="EN136" s="354"/>
      <c r="EO136" s="359"/>
      <c r="EP136" s="359"/>
      <c r="EQ136" s="359"/>
      <c r="ER136" s="357"/>
      <c r="ES136" s="380"/>
      <c r="ET136" s="369"/>
      <c r="EU136" s="363"/>
      <c r="EV136" s="357"/>
      <c r="EW136" s="359"/>
      <c r="EX136" s="358"/>
      <c r="EY136" s="357"/>
      <c r="EZ136" s="354"/>
      <c r="FA136" s="354"/>
      <c r="FB136" s="354"/>
      <c r="FC136" s="354"/>
      <c r="FD136" s="357"/>
      <c r="FE136" s="359"/>
      <c r="FF136" s="359"/>
      <c r="FG136" s="359"/>
      <c r="FH136" s="357"/>
      <c r="FI136" s="359"/>
      <c r="FJ136" s="359"/>
      <c r="FK136" s="358"/>
      <c r="FL136" s="357"/>
      <c r="FM136" s="358"/>
      <c r="FN136" s="358"/>
      <c r="FO136" s="357"/>
      <c r="FP136" s="359"/>
      <c r="FQ136" s="357"/>
      <c r="FR136" s="357"/>
      <c r="FS136" s="361"/>
      <c r="FT136" s="361"/>
      <c r="FU136" s="390"/>
      <c r="FV136" s="355"/>
      <c r="FW136" s="355"/>
      <c r="FX136" s="355"/>
      <c r="FY136" s="357"/>
      <c r="FZ136" s="390"/>
      <c r="GA136" s="359"/>
      <c r="GB136" s="359"/>
      <c r="GC136" s="354"/>
      <c r="GD136" s="354"/>
      <c r="GE136" s="354"/>
      <c r="GF136" s="354"/>
      <c r="GG136" s="354"/>
      <c r="GH136" s="357"/>
      <c r="GI136" s="354"/>
      <c r="GJ136" s="358"/>
      <c r="GK136" s="358"/>
      <c r="GL136" s="359"/>
      <c r="GM136" s="361"/>
      <c r="GN136" s="361"/>
      <c r="GO136" s="361"/>
      <c r="GP136" s="362"/>
      <c r="GQ136" s="362"/>
      <c r="GR136" s="362"/>
    </row>
    <row r="137" spans="1:200" ht="13.5" customHeight="1" x14ac:dyDescent="0.2">
      <c r="A137" s="355"/>
      <c r="B137" s="367"/>
      <c r="C137" s="367"/>
      <c r="D137" s="367"/>
      <c r="E137" s="362"/>
      <c r="F137" s="362"/>
      <c r="G137" s="362"/>
      <c r="H137" s="367"/>
      <c r="I137" s="367"/>
      <c r="J137" s="355"/>
      <c r="K137" s="367"/>
      <c r="L137" s="397"/>
      <c r="M137" s="355"/>
      <c r="N137" s="358"/>
      <c r="O137" s="359"/>
      <c r="P137" s="359"/>
      <c r="Q137" s="357"/>
      <c r="R137" s="357"/>
      <c r="S137" s="357"/>
      <c r="T137" s="359"/>
      <c r="U137" s="359"/>
      <c r="V137" s="390"/>
      <c r="W137" s="354"/>
      <c r="X137" s="380"/>
      <c r="Y137" s="354"/>
      <c r="Z137" s="354"/>
      <c r="AA137" s="380"/>
      <c r="AB137" s="354"/>
      <c r="AC137" s="357"/>
      <c r="AD137" s="357"/>
      <c r="AE137" s="357"/>
      <c r="AF137" s="369"/>
      <c r="AG137" s="354"/>
      <c r="AH137" s="354"/>
      <c r="AI137" s="354"/>
      <c r="AJ137" s="354"/>
      <c r="AK137" s="357"/>
      <c r="AL137" s="357"/>
      <c r="AM137" s="354"/>
      <c r="AN137" s="357"/>
      <c r="AO137" s="380"/>
      <c r="AP137" s="369"/>
      <c r="AQ137" s="380"/>
      <c r="AR137" s="357"/>
      <c r="AS137" s="380"/>
      <c r="AT137" s="354"/>
      <c r="AU137" s="380"/>
      <c r="AV137" s="390"/>
      <c r="AW137" s="354"/>
      <c r="AX137" s="357"/>
      <c r="AY137" s="354"/>
      <c r="AZ137" s="380"/>
      <c r="BA137" s="354"/>
      <c r="BB137" s="354"/>
      <c r="BC137" s="357"/>
      <c r="BD137" s="354"/>
      <c r="BE137" s="357"/>
      <c r="BF137" s="380"/>
      <c r="BG137" s="380"/>
      <c r="BH137" s="354"/>
      <c r="BI137" s="390"/>
      <c r="BJ137" s="354"/>
      <c r="BK137" s="357"/>
      <c r="BL137" s="357"/>
      <c r="BM137" s="354"/>
      <c r="BN137" s="354"/>
      <c r="BO137" s="354"/>
      <c r="BP137" s="354"/>
      <c r="BQ137" s="380"/>
      <c r="BR137" s="354"/>
      <c r="BS137" s="354"/>
      <c r="BT137" s="354"/>
      <c r="BU137" s="354"/>
      <c r="BV137" s="354"/>
      <c r="BW137" s="380"/>
      <c r="BX137" s="380"/>
      <c r="BY137" s="381"/>
      <c r="BZ137" s="357"/>
      <c r="CA137" s="354"/>
      <c r="CB137" s="354"/>
      <c r="CC137" s="354"/>
      <c r="CD137" s="354"/>
      <c r="CE137" s="354"/>
      <c r="CF137" s="354"/>
      <c r="CG137" s="354"/>
      <c r="CH137" s="354"/>
      <c r="CI137" s="354"/>
      <c r="CJ137" s="354"/>
      <c r="CK137" s="381"/>
      <c r="CL137" s="393"/>
      <c r="CM137" s="393"/>
      <c r="CN137" s="393"/>
      <c r="CO137" s="393"/>
      <c r="CP137" s="393"/>
      <c r="CQ137" s="393"/>
      <c r="CR137" s="393"/>
      <c r="CS137" s="393"/>
      <c r="CT137" s="393"/>
      <c r="CU137" s="381"/>
      <c r="CV137" s="354"/>
      <c r="CW137" s="354"/>
      <c r="CX137" s="354"/>
      <c r="CY137" s="354"/>
      <c r="CZ137" s="354"/>
      <c r="DA137" s="354"/>
      <c r="DB137" s="354"/>
      <c r="DC137" s="354"/>
      <c r="DD137" s="354"/>
      <c r="DE137" s="354"/>
      <c r="DF137" s="381"/>
      <c r="DG137" s="381"/>
      <c r="DH137" s="354"/>
      <c r="DI137" s="393"/>
      <c r="DJ137" s="393"/>
      <c r="DK137" s="393"/>
      <c r="DL137" s="381"/>
      <c r="DM137" s="354"/>
      <c r="DN137" s="354"/>
      <c r="DO137" s="381"/>
      <c r="DP137" s="393"/>
      <c r="DQ137" s="354"/>
      <c r="DR137" s="393"/>
      <c r="DS137" s="393"/>
      <c r="DT137" s="393"/>
      <c r="DU137" s="395"/>
      <c r="DV137" s="354"/>
      <c r="DW137" s="357"/>
      <c r="DX137" s="354"/>
      <c r="DY137" s="362"/>
      <c r="DZ137" s="359"/>
      <c r="EA137" s="359"/>
      <c r="EB137" s="359"/>
      <c r="EC137" s="357"/>
      <c r="ED137" s="357"/>
      <c r="EE137" s="359"/>
      <c r="EF137" s="359"/>
      <c r="EG137" s="354"/>
      <c r="EH137" s="357"/>
      <c r="EI137" s="354"/>
      <c r="EJ137" s="354"/>
      <c r="EK137" s="354"/>
      <c r="EL137" s="390"/>
      <c r="EM137" s="358"/>
      <c r="EN137" s="358"/>
      <c r="EO137" s="362"/>
      <c r="EP137" s="362"/>
      <c r="EQ137" s="358"/>
      <c r="ER137" s="357"/>
      <c r="ES137" s="357"/>
      <c r="ET137" s="355"/>
      <c r="EU137" s="390"/>
      <c r="EV137" s="359"/>
      <c r="EW137" s="359"/>
      <c r="EX137" s="358"/>
      <c r="EY137" s="355"/>
      <c r="EZ137" s="355"/>
      <c r="FA137" s="357"/>
      <c r="FB137" s="358"/>
      <c r="FC137" s="358"/>
      <c r="FD137" s="355"/>
      <c r="FE137" s="357"/>
      <c r="FF137" s="359"/>
      <c r="FG137" s="359"/>
      <c r="FH137" s="354"/>
      <c r="FI137" s="354"/>
      <c r="FJ137" s="358"/>
      <c r="FK137" s="358"/>
      <c r="FL137" s="357"/>
      <c r="FM137" s="358"/>
      <c r="FN137" s="354"/>
      <c r="FO137" s="354"/>
      <c r="FP137" s="359"/>
      <c r="FQ137" s="357"/>
      <c r="FR137" s="361"/>
      <c r="FS137" s="362"/>
      <c r="FT137" s="355"/>
      <c r="FU137" s="355"/>
      <c r="FV137" s="355"/>
      <c r="FW137" s="355"/>
      <c r="FX137" s="355"/>
      <c r="FY137" s="360"/>
      <c r="FZ137" s="359"/>
      <c r="GA137" s="359"/>
      <c r="GB137" s="357"/>
      <c r="GC137" s="354"/>
      <c r="GD137" s="356"/>
      <c r="GE137" s="356"/>
      <c r="GF137" s="387"/>
      <c r="GG137" s="358"/>
      <c r="GH137" s="358"/>
      <c r="GI137" s="355"/>
      <c r="GJ137" s="367"/>
      <c r="GK137" s="358"/>
      <c r="GL137" s="361"/>
      <c r="GM137" s="361"/>
      <c r="GN137" s="361"/>
      <c r="GO137" s="361"/>
      <c r="GP137" s="361"/>
      <c r="GQ137" s="361"/>
      <c r="GR137" s="361"/>
    </row>
    <row r="138" spans="1:200" ht="13.5" customHeight="1" x14ac:dyDescent="0.2">
      <c r="A138" s="355"/>
      <c r="B138" s="367"/>
      <c r="C138" s="367"/>
      <c r="D138" s="367"/>
      <c r="E138" s="367"/>
      <c r="F138" s="387"/>
      <c r="G138" s="387"/>
      <c r="H138" s="367"/>
      <c r="I138" s="367"/>
      <c r="J138" s="367"/>
      <c r="K138" s="367"/>
      <c r="L138" s="397"/>
      <c r="M138" s="357"/>
      <c r="N138" s="355"/>
      <c r="O138" s="359"/>
      <c r="P138" s="358"/>
      <c r="Q138" s="362"/>
      <c r="R138" s="362"/>
      <c r="S138" s="362"/>
      <c r="T138" s="362"/>
      <c r="U138" s="362"/>
      <c r="V138" s="358"/>
      <c r="W138" s="354"/>
      <c r="X138" s="369"/>
      <c r="Y138" s="354"/>
      <c r="Z138" s="354"/>
      <c r="AA138" s="390"/>
      <c r="AB138" s="354"/>
      <c r="AC138" s="357"/>
      <c r="AD138" s="357"/>
      <c r="AE138" s="357"/>
      <c r="AF138" s="380"/>
      <c r="AG138" s="369"/>
      <c r="AH138" s="354"/>
      <c r="AI138" s="354"/>
      <c r="AJ138" s="354"/>
      <c r="AK138" s="357"/>
      <c r="AL138" s="357"/>
      <c r="AM138" s="354"/>
      <c r="AN138" s="354"/>
      <c r="AO138" s="354"/>
      <c r="AP138" s="369"/>
      <c r="AQ138" s="357"/>
      <c r="AR138" s="380"/>
      <c r="AS138" s="380"/>
      <c r="AT138" s="357"/>
      <c r="AU138" s="380"/>
      <c r="AV138" s="380"/>
      <c r="AW138" s="354"/>
      <c r="AX138" s="357"/>
      <c r="AY138" s="354"/>
      <c r="AZ138" s="381"/>
      <c r="BA138" s="354"/>
      <c r="BB138" s="354"/>
      <c r="BC138" s="357"/>
      <c r="BD138" s="354"/>
      <c r="BE138" s="354"/>
      <c r="BF138" s="380"/>
      <c r="BG138" s="380"/>
      <c r="BH138" s="380"/>
      <c r="BI138" s="354"/>
      <c r="BJ138" s="354"/>
      <c r="BK138" s="357"/>
      <c r="BL138" s="354"/>
      <c r="BM138" s="354"/>
      <c r="BN138" s="354"/>
      <c r="BO138" s="354"/>
      <c r="BP138" s="354"/>
      <c r="BQ138" s="380"/>
      <c r="BR138" s="354"/>
      <c r="BS138" s="357"/>
      <c r="BT138" s="354"/>
      <c r="BU138" s="354"/>
      <c r="BV138" s="380"/>
      <c r="BW138" s="381"/>
      <c r="BX138" s="380"/>
      <c r="BY138" s="354"/>
      <c r="BZ138" s="380"/>
      <c r="CA138" s="354"/>
      <c r="CB138" s="354"/>
      <c r="CC138" s="354"/>
      <c r="CD138" s="393"/>
      <c r="CE138" s="393"/>
      <c r="CF138" s="393"/>
      <c r="CG138" s="393"/>
      <c r="CH138" s="393"/>
      <c r="CI138" s="393"/>
      <c r="CJ138" s="393"/>
      <c r="CK138" s="393"/>
      <c r="CL138" s="393"/>
      <c r="CM138" s="393"/>
      <c r="CN138" s="393"/>
      <c r="CO138" s="393"/>
      <c r="CP138" s="393"/>
      <c r="CQ138" s="393"/>
      <c r="CR138" s="393"/>
      <c r="CS138" s="393"/>
      <c r="CT138" s="393"/>
      <c r="CU138" s="393"/>
      <c r="CV138" s="393"/>
      <c r="CW138" s="393"/>
      <c r="CX138" s="393"/>
      <c r="CY138" s="393"/>
      <c r="CZ138" s="393"/>
      <c r="DA138" s="393"/>
      <c r="DB138" s="393"/>
      <c r="DC138" s="393"/>
      <c r="DD138" s="393"/>
      <c r="DE138" s="393"/>
      <c r="DF138" s="393"/>
      <c r="DG138" s="393"/>
      <c r="DH138" s="393"/>
      <c r="DI138" s="393"/>
      <c r="DJ138" s="393"/>
      <c r="DK138" s="393"/>
      <c r="DL138" s="393"/>
      <c r="DM138" s="393"/>
      <c r="DN138" s="393"/>
      <c r="DO138" s="393"/>
      <c r="DP138" s="393"/>
      <c r="DQ138" s="393"/>
      <c r="DR138" s="393"/>
      <c r="DS138" s="393"/>
      <c r="DT138" s="393"/>
      <c r="DU138" s="393"/>
      <c r="DV138" s="354"/>
      <c r="DW138" s="354"/>
      <c r="DX138" s="354"/>
      <c r="DY138" s="358"/>
      <c r="DZ138" s="359"/>
      <c r="EA138" s="359"/>
      <c r="EB138" s="359"/>
      <c r="EC138" s="354"/>
      <c r="ED138" s="357"/>
      <c r="EE138" s="359"/>
      <c r="EF138" s="359"/>
      <c r="EG138" s="357"/>
      <c r="EH138" s="390"/>
      <c r="EI138" s="357"/>
      <c r="EJ138" s="354"/>
      <c r="EK138" s="354"/>
      <c r="EL138" s="354"/>
      <c r="EM138" s="359"/>
      <c r="EN138" s="359"/>
      <c r="EO138" s="362"/>
      <c r="EP138" s="362"/>
      <c r="EQ138" s="358"/>
      <c r="ER138" s="390"/>
      <c r="ES138" s="357"/>
      <c r="ET138" s="357"/>
      <c r="EU138" s="354"/>
      <c r="EV138" s="359"/>
      <c r="EW138" s="357"/>
      <c r="EX138" s="357"/>
      <c r="EY138" s="359"/>
      <c r="EZ138" s="357"/>
      <c r="FA138" s="357"/>
      <c r="FB138" s="359"/>
      <c r="FC138" s="359"/>
      <c r="FD138" s="358"/>
      <c r="FE138" s="354"/>
      <c r="FF138" s="359"/>
      <c r="FG138" s="354"/>
      <c r="FH138" s="354"/>
      <c r="FI138" s="357"/>
      <c r="FJ138" s="362"/>
      <c r="FK138" s="359"/>
      <c r="FL138" s="354"/>
      <c r="FM138" s="359"/>
      <c r="FN138" s="354"/>
      <c r="FO138" s="390"/>
      <c r="FP138" s="359"/>
      <c r="FQ138" s="357"/>
      <c r="FR138" s="362"/>
      <c r="FS138" s="362"/>
      <c r="FT138" s="355"/>
      <c r="FU138" s="355"/>
      <c r="FV138" s="361"/>
      <c r="FW138" s="360"/>
      <c r="FX138" s="360"/>
      <c r="FY138" s="359"/>
      <c r="FZ138" s="359"/>
      <c r="GA138" s="357"/>
      <c r="GB138" s="357"/>
      <c r="GC138" s="354"/>
      <c r="GD138" s="357"/>
      <c r="GE138" s="357"/>
      <c r="GF138" s="362"/>
      <c r="GG138" s="362"/>
      <c r="GH138" s="355"/>
      <c r="GI138" s="357"/>
      <c r="GJ138" s="357"/>
      <c r="GK138" s="359"/>
      <c r="GL138" s="357"/>
      <c r="GM138" s="357"/>
      <c r="GN138" s="357"/>
      <c r="GO138" s="357"/>
      <c r="GP138" s="357"/>
      <c r="GQ138" s="357"/>
      <c r="GR138" s="357"/>
    </row>
    <row r="139" spans="1:200" ht="13.5" customHeight="1" x14ac:dyDescent="0.2">
      <c r="A139" s="367"/>
      <c r="B139" s="367"/>
      <c r="C139" s="367"/>
      <c r="D139" s="367"/>
      <c r="E139" s="355"/>
      <c r="F139" s="387"/>
      <c r="G139" s="367"/>
      <c r="H139" s="367"/>
      <c r="I139" s="358"/>
      <c r="J139" s="358"/>
      <c r="K139" s="358"/>
      <c r="L139" s="359"/>
      <c r="M139" s="358"/>
      <c r="N139" s="358"/>
      <c r="O139" s="359"/>
      <c r="P139" s="358"/>
      <c r="Q139" s="358"/>
      <c r="R139" s="358"/>
      <c r="S139" s="358"/>
      <c r="T139" s="362"/>
      <c r="U139" s="362"/>
      <c r="V139" s="358"/>
      <c r="W139" s="354"/>
      <c r="X139" s="380"/>
      <c r="Y139" s="354"/>
      <c r="Z139" s="354"/>
      <c r="AA139" s="390"/>
      <c r="AB139" s="354"/>
      <c r="AC139" s="357"/>
      <c r="AD139" s="357"/>
      <c r="AE139" s="354"/>
      <c r="AF139" s="380"/>
      <c r="AG139" s="369"/>
      <c r="AH139" s="354"/>
      <c r="AI139" s="357"/>
      <c r="AJ139" s="354"/>
      <c r="AK139" s="354"/>
      <c r="AL139" s="354"/>
      <c r="AM139" s="354"/>
      <c r="AN139" s="354"/>
      <c r="AO139" s="354"/>
      <c r="AP139" s="369"/>
      <c r="AQ139" s="357"/>
      <c r="AR139" s="357"/>
      <c r="AS139" s="357"/>
      <c r="AT139" s="357"/>
      <c r="AU139" s="380"/>
      <c r="AV139" s="357"/>
      <c r="AW139" s="354"/>
      <c r="AX139" s="357"/>
      <c r="AY139" s="354"/>
      <c r="AZ139" s="381"/>
      <c r="BA139" s="354"/>
      <c r="BB139" s="354"/>
      <c r="BC139" s="357"/>
      <c r="BD139" s="354"/>
      <c r="BE139" s="354"/>
      <c r="BF139" s="380"/>
      <c r="BG139" s="380"/>
      <c r="BH139" s="380"/>
      <c r="BI139" s="354"/>
      <c r="BJ139" s="354"/>
      <c r="BK139" s="357"/>
      <c r="BL139" s="354"/>
      <c r="BM139" s="357"/>
      <c r="BN139" s="380"/>
      <c r="BO139" s="380"/>
      <c r="BP139" s="380"/>
      <c r="BQ139" s="380"/>
      <c r="BR139" s="354"/>
      <c r="BS139" s="354"/>
      <c r="BT139" s="354"/>
      <c r="BU139" s="354"/>
      <c r="BV139" s="381"/>
      <c r="BW139" s="380"/>
      <c r="BX139" s="357"/>
      <c r="BY139" s="380"/>
      <c r="BZ139" s="390"/>
      <c r="CA139" s="354"/>
      <c r="CB139" s="354"/>
      <c r="CC139" s="354"/>
      <c r="CD139" s="393"/>
      <c r="CE139" s="393"/>
      <c r="CF139" s="393"/>
      <c r="CG139" s="393"/>
      <c r="CH139" s="393"/>
      <c r="CI139" s="393"/>
      <c r="CJ139" s="393"/>
      <c r="CK139" s="393"/>
      <c r="CL139" s="393"/>
      <c r="CM139" s="393"/>
      <c r="CN139" s="393"/>
      <c r="CO139" s="393"/>
      <c r="CP139" s="393"/>
      <c r="CQ139" s="393"/>
      <c r="CR139" s="393"/>
      <c r="CS139" s="393"/>
      <c r="CT139" s="393"/>
      <c r="CU139" s="393"/>
      <c r="CV139" s="393"/>
      <c r="CW139" s="393"/>
      <c r="CX139" s="393"/>
      <c r="CY139" s="393"/>
      <c r="CZ139" s="393"/>
      <c r="DA139" s="393"/>
      <c r="DB139" s="393"/>
      <c r="DC139" s="393"/>
      <c r="DD139" s="393"/>
      <c r="DE139" s="393"/>
      <c r="DF139" s="393"/>
      <c r="DG139" s="393"/>
      <c r="DH139" s="393"/>
      <c r="DI139" s="393"/>
      <c r="DJ139" s="393"/>
      <c r="DK139" s="393"/>
      <c r="DL139" s="393"/>
      <c r="DM139" s="393"/>
      <c r="DN139" s="393"/>
      <c r="DO139" s="393"/>
      <c r="DP139" s="393"/>
      <c r="DQ139" s="393"/>
      <c r="DR139" s="393"/>
      <c r="DS139" s="393"/>
      <c r="DT139" s="393"/>
      <c r="DU139" s="393"/>
      <c r="DV139" s="354"/>
      <c r="DW139" s="390"/>
      <c r="DX139" s="357"/>
      <c r="DY139" s="354"/>
      <c r="DZ139" s="390"/>
      <c r="EA139" s="359"/>
      <c r="EB139" s="359"/>
      <c r="EC139" s="354"/>
      <c r="ED139" s="354"/>
      <c r="EE139" s="357"/>
      <c r="EF139" s="357"/>
      <c r="EG139" s="357"/>
      <c r="EH139" s="357"/>
      <c r="EI139" s="369"/>
      <c r="EJ139" s="355"/>
      <c r="EK139" s="354"/>
      <c r="EL139" s="354"/>
      <c r="EM139" s="362"/>
      <c r="EN139" s="358"/>
      <c r="EO139" s="362"/>
      <c r="EP139" s="362"/>
      <c r="EQ139" s="362"/>
      <c r="ER139" s="355"/>
      <c r="ES139" s="354"/>
      <c r="ET139" s="361"/>
      <c r="EU139" s="361"/>
      <c r="EV139" s="361"/>
      <c r="EW139" s="361"/>
      <c r="EX139" s="361"/>
      <c r="EY139" s="361"/>
      <c r="EZ139" s="361"/>
      <c r="FA139" s="362"/>
      <c r="FB139" s="361"/>
      <c r="FC139" s="361"/>
      <c r="FD139" s="355"/>
      <c r="FE139" s="354"/>
      <c r="FF139" s="359"/>
      <c r="FG139" s="354"/>
      <c r="FH139" s="359"/>
      <c r="FI139" s="357"/>
      <c r="FJ139" s="358"/>
      <c r="FK139" s="359"/>
      <c r="FL139" s="357"/>
      <c r="FM139" s="390"/>
      <c r="FN139" s="354"/>
      <c r="FO139" s="357"/>
      <c r="FP139" s="357"/>
      <c r="FQ139" s="358"/>
      <c r="FR139" s="362"/>
      <c r="FS139" s="362"/>
      <c r="FT139" s="362"/>
      <c r="FU139" s="355"/>
      <c r="FV139" s="359"/>
      <c r="FW139" s="362"/>
      <c r="FX139" s="362"/>
      <c r="FY139" s="362"/>
      <c r="FZ139" s="355"/>
      <c r="GA139" s="357"/>
      <c r="GB139" s="359"/>
      <c r="GC139" s="357"/>
      <c r="GD139" s="354"/>
      <c r="GE139" s="354"/>
      <c r="GF139" s="354"/>
      <c r="GG139" s="354"/>
      <c r="GH139" s="354"/>
      <c r="GI139" s="354"/>
      <c r="GJ139" s="359"/>
      <c r="GK139" s="357"/>
      <c r="GL139" s="357"/>
      <c r="GM139" s="354"/>
      <c r="GN139" s="354"/>
      <c r="GO139" s="354"/>
      <c r="GP139" s="354"/>
      <c r="GQ139" s="357"/>
      <c r="GR139" s="359"/>
    </row>
    <row r="140" spans="1:200" ht="13.5" customHeight="1" x14ac:dyDescent="0.2">
      <c r="A140" s="369"/>
      <c r="B140" s="380"/>
      <c r="C140" s="367"/>
      <c r="D140" s="367"/>
      <c r="E140" s="369"/>
      <c r="F140" s="369"/>
      <c r="G140" s="355"/>
      <c r="H140" s="367"/>
      <c r="I140" s="359"/>
      <c r="J140" s="359"/>
      <c r="K140" s="359"/>
      <c r="L140" s="359"/>
      <c r="M140" s="362"/>
      <c r="N140" s="362"/>
      <c r="O140" s="358"/>
      <c r="P140" s="358"/>
      <c r="Q140" s="362"/>
      <c r="R140" s="358"/>
      <c r="S140" s="362"/>
      <c r="T140" s="362"/>
      <c r="U140" s="362"/>
      <c r="V140" s="358"/>
      <c r="W140" s="357"/>
      <c r="X140" s="380"/>
      <c r="Y140" s="354"/>
      <c r="Z140" s="354"/>
      <c r="AA140" s="380"/>
      <c r="AB140" s="354"/>
      <c r="AC140" s="354"/>
      <c r="AD140" s="354"/>
      <c r="AE140" s="354"/>
      <c r="AF140" s="354"/>
      <c r="AG140" s="369"/>
      <c r="AH140" s="380"/>
      <c r="AI140" s="354"/>
      <c r="AJ140" s="354"/>
      <c r="AK140" s="354"/>
      <c r="AL140" s="354"/>
      <c r="AM140" s="354"/>
      <c r="AN140" s="354"/>
      <c r="AO140" s="354"/>
      <c r="AP140" s="369"/>
      <c r="AQ140" s="380"/>
      <c r="AR140" s="380"/>
      <c r="AS140" s="357"/>
      <c r="AT140" s="357"/>
      <c r="AU140" s="380"/>
      <c r="AV140" s="357"/>
      <c r="AW140" s="354"/>
      <c r="AX140" s="357"/>
      <c r="AY140" s="354"/>
      <c r="AZ140" s="381"/>
      <c r="BA140" s="354"/>
      <c r="BB140" s="354"/>
      <c r="BC140" s="354"/>
      <c r="BD140" s="357"/>
      <c r="BE140" s="354"/>
      <c r="BF140" s="380"/>
      <c r="BG140" s="380"/>
      <c r="BH140" s="369"/>
      <c r="BI140" s="354"/>
      <c r="BJ140" s="357"/>
      <c r="BK140" s="357"/>
      <c r="BL140" s="354"/>
      <c r="BM140" s="357"/>
      <c r="BN140" s="380"/>
      <c r="BO140" s="380"/>
      <c r="BP140" s="380"/>
      <c r="BQ140" s="354"/>
      <c r="BR140" s="354"/>
      <c r="BS140" s="354"/>
      <c r="BT140" s="354"/>
      <c r="BU140" s="381"/>
      <c r="BV140" s="381"/>
      <c r="BW140" s="380"/>
      <c r="BX140" s="357"/>
      <c r="BY140" s="357"/>
      <c r="BZ140" s="380"/>
      <c r="CA140" s="354"/>
      <c r="CB140" s="354"/>
      <c r="CC140" s="354"/>
      <c r="CD140" s="393"/>
      <c r="CE140" s="393"/>
      <c r="CF140" s="393"/>
      <c r="CG140" s="393"/>
      <c r="CH140" s="393"/>
      <c r="CI140" s="393"/>
      <c r="CJ140" s="393"/>
      <c r="CK140" s="393"/>
      <c r="CL140" s="393"/>
      <c r="CM140" s="393"/>
      <c r="CN140" s="393"/>
      <c r="CO140" s="393"/>
      <c r="CP140" s="393"/>
      <c r="CQ140" s="393"/>
      <c r="CR140" s="393"/>
      <c r="CS140" s="393"/>
      <c r="CT140" s="393"/>
      <c r="CU140" s="393"/>
      <c r="CV140" s="393"/>
      <c r="CW140" s="393"/>
      <c r="CX140" s="393"/>
      <c r="CY140" s="393"/>
      <c r="CZ140" s="393"/>
      <c r="DA140" s="393"/>
      <c r="DB140" s="393"/>
      <c r="DC140" s="393"/>
      <c r="DD140" s="393"/>
      <c r="DE140" s="393"/>
      <c r="DF140" s="393"/>
      <c r="DG140" s="393"/>
      <c r="DH140" s="393"/>
      <c r="DI140" s="393"/>
      <c r="DJ140" s="393"/>
      <c r="DK140" s="393"/>
      <c r="DL140" s="393"/>
      <c r="DM140" s="393"/>
      <c r="DN140" s="393"/>
      <c r="DO140" s="393"/>
      <c r="DP140" s="393"/>
      <c r="DQ140" s="393"/>
      <c r="DR140" s="393"/>
      <c r="DS140" s="393"/>
      <c r="DT140" s="393"/>
      <c r="DU140" s="393"/>
      <c r="DV140" s="354"/>
      <c r="DW140" s="357"/>
      <c r="DX140" s="357"/>
      <c r="DY140" s="354"/>
      <c r="DZ140" s="357"/>
      <c r="EA140" s="357"/>
      <c r="EB140" s="359"/>
      <c r="EC140" s="354"/>
      <c r="ED140" s="357"/>
      <c r="EE140" s="354"/>
      <c r="EF140" s="357"/>
      <c r="EG140" s="357"/>
      <c r="EH140" s="369"/>
      <c r="EI140" s="369"/>
      <c r="EJ140" s="369"/>
      <c r="EK140" s="363"/>
      <c r="EL140" s="354"/>
      <c r="EM140" s="362"/>
      <c r="EN140" s="362"/>
      <c r="EO140" s="362"/>
      <c r="EP140" s="362"/>
      <c r="EQ140" s="362"/>
      <c r="ER140" s="362"/>
      <c r="ES140" s="354"/>
      <c r="ET140" s="357"/>
      <c r="EU140" s="361"/>
      <c r="EV140" s="361"/>
      <c r="EW140" s="361"/>
      <c r="EX140" s="361"/>
      <c r="EY140" s="361"/>
      <c r="EZ140" s="361"/>
      <c r="FA140" s="361"/>
      <c r="FB140" s="361"/>
      <c r="FC140" s="361"/>
      <c r="FD140" s="357"/>
      <c r="FE140" s="357"/>
      <c r="FF140" s="357"/>
      <c r="FG140" s="357"/>
      <c r="FH140" s="354"/>
      <c r="FI140" s="357"/>
      <c r="FJ140" s="358"/>
      <c r="FK140" s="359"/>
      <c r="FL140" s="357"/>
      <c r="FM140" s="380"/>
      <c r="FN140" s="354"/>
      <c r="FO140" s="357"/>
      <c r="FP140" s="357"/>
      <c r="FQ140" s="358"/>
      <c r="FR140" s="362"/>
      <c r="FS140" s="362"/>
      <c r="FT140" s="358"/>
      <c r="FU140" s="358"/>
      <c r="FV140" s="359"/>
      <c r="FW140" s="362"/>
      <c r="FX140" s="361"/>
      <c r="FY140" s="362"/>
      <c r="FZ140" s="359"/>
      <c r="GA140" s="357"/>
      <c r="GB140" s="357"/>
      <c r="GC140" s="357"/>
      <c r="GD140" s="357"/>
      <c r="GE140" s="354"/>
      <c r="GF140" s="354"/>
      <c r="GG140" s="354"/>
      <c r="GH140" s="357"/>
      <c r="GI140" s="357"/>
      <c r="GJ140" s="357"/>
      <c r="GK140" s="357"/>
      <c r="GL140" s="357"/>
      <c r="GM140" s="357"/>
      <c r="GN140" s="357"/>
      <c r="GO140" s="357"/>
      <c r="GP140" s="357"/>
      <c r="GQ140" s="357"/>
      <c r="GR140" s="359"/>
    </row>
    <row r="141" spans="1:200" ht="13.5" customHeight="1" x14ac:dyDescent="0.2">
      <c r="A141" s="367"/>
      <c r="B141" s="367"/>
      <c r="C141" s="367"/>
      <c r="D141" s="369"/>
      <c r="E141" s="397"/>
      <c r="F141" s="355"/>
      <c r="G141" s="354"/>
      <c r="H141" s="354"/>
      <c r="I141" s="357"/>
      <c r="J141" s="390"/>
      <c r="K141" s="390"/>
      <c r="L141" s="359"/>
      <c r="M141" s="362"/>
      <c r="N141" s="358"/>
      <c r="O141" s="358"/>
      <c r="P141" s="362"/>
      <c r="Q141" s="362"/>
      <c r="R141" s="362"/>
      <c r="S141" s="362"/>
      <c r="T141" s="358"/>
      <c r="U141" s="358"/>
      <c r="V141" s="358"/>
      <c r="W141" s="357"/>
      <c r="X141" s="380"/>
      <c r="Y141" s="354"/>
      <c r="Z141" s="354"/>
      <c r="AA141" s="380"/>
      <c r="AB141" s="380"/>
      <c r="AC141" s="354"/>
      <c r="AD141" s="357"/>
      <c r="AE141" s="354"/>
      <c r="AF141" s="354"/>
      <c r="AG141" s="380"/>
      <c r="AH141" s="380"/>
      <c r="AI141" s="354"/>
      <c r="AJ141" s="354"/>
      <c r="AK141" s="354"/>
      <c r="AL141" s="354"/>
      <c r="AM141" s="354"/>
      <c r="AN141" s="354"/>
      <c r="AO141" s="354"/>
      <c r="AP141" s="369"/>
      <c r="AQ141" s="380"/>
      <c r="AR141" s="357"/>
      <c r="AS141" s="357"/>
      <c r="AT141" s="357"/>
      <c r="AU141" s="354"/>
      <c r="AV141" s="357"/>
      <c r="AW141" s="354"/>
      <c r="AX141" s="354"/>
      <c r="AY141" s="354"/>
      <c r="AZ141" s="380"/>
      <c r="BA141" s="354"/>
      <c r="BB141" s="354"/>
      <c r="BC141" s="354"/>
      <c r="BD141" s="354"/>
      <c r="BE141" s="354"/>
      <c r="BF141" s="381"/>
      <c r="BG141" s="381"/>
      <c r="BH141" s="354"/>
      <c r="BI141" s="354"/>
      <c r="BJ141" s="357"/>
      <c r="BK141" s="354"/>
      <c r="BL141" s="354"/>
      <c r="BM141" s="354"/>
      <c r="BN141" s="380"/>
      <c r="BO141" s="380"/>
      <c r="BP141" s="380"/>
      <c r="BQ141" s="354"/>
      <c r="BR141" s="354"/>
      <c r="BS141" s="354"/>
      <c r="BT141" s="381"/>
      <c r="BU141" s="380"/>
      <c r="BV141" s="381"/>
      <c r="BW141" s="380"/>
      <c r="BX141" s="357"/>
      <c r="BY141" s="357"/>
      <c r="BZ141" s="380"/>
      <c r="CA141" s="354"/>
      <c r="CB141" s="354"/>
      <c r="CC141" s="354"/>
      <c r="CD141" s="393"/>
      <c r="CE141" s="393"/>
      <c r="CF141" s="393"/>
      <c r="CG141" s="393"/>
      <c r="CH141" s="393"/>
      <c r="CI141" s="393"/>
      <c r="CJ141" s="393"/>
      <c r="CK141" s="393"/>
      <c r="CL141" s="393"/>
      <c r="CM141" s="393"/>
      <c r="CN141" s="393"/>
      <c r="CO141" s="393"/>
      <c r="CP141" s="393"/>
      <c r="CQ141" s="393"/>
      <c r="CR141" s="393"/>
      <c r="CS141" s="393"/>
      <c r="CT141" s="393"/>
      <c r="CU141" s="393"/>
      <c r="CV141" s="393"/>
      <c r="CW141" s="393"/>
      <c r="CX141" s="393"/>
      <c r="CY141" s="393"/>
      <c r="CZ141" s="393"/>
      <c r="DA141" s="393"/>
      <c r="DB141" s="393"/>
      <c r="DC141" s="393"/>
      <c r="DD141" s="393"/>
      <c r="DE141" s="393"/>
      <c r="DF141" s="393"/>
      <c r="DG141" s="393"/>
      <c r="DH141" s="393"/>
      <c r="DI141" s="393"/>
      <c r="DJ141" s="393"/>
      <c r="DK141" s="393"/>
      <c r="DL141" s="393"/>
      <c r="DM141" s="393"/>
      <c r="DN141" s="393"/>
      <c r="DO141" s="393"/>
      <c r="DP141" s="393"/>
      <c r="DQ141" s="393"/>
      <c r="DR141" s="393"/>
      <c r="DS141" s="393"/>
      <c r="DT141" s="393"/>
      <c r="DU141" s="381"/>
      <c r="DV141" s="354"/>
      <c r="DW141" s="354"/>
      <c r="DX141" s="354"/>
      <c r="DY141" s="354"/>
      <c r="DZ141" s="357"/>
      <c r="EA141" s="357"/>
      <c r="EB141" s="357"/>
      <c r="EC141" s="354"/>
      <c r="ED141" s="354"/>
      <c r="EE141" s="354"/>
      <c r="EF141" s="357"/>
      <c r="EG141" s="354"/>
      <c r="EH141" s="355"/>
      <c r="EI141" s="363"/>
      <c r="EJ141" s="369"/>
      <c r="EK141" s="363"/>
      <c r="EL141" s="358"/>
      <c r="EM141" s="355"/>
      <c r="EN141" s="355"/>
      <c r="EO141" s="361"/>
      <c r="EP141" s="362"/>
      <c r="EQ141" s="362"/>
      <c r="ER141" s="362"/>
      <c r="ES141" s="354"/>
      <c r="ET141" s="357"/>
      <c r="EU141" s="357"/>
      <c r="EV141" s="354"/>
      <c r="EW141" s="354"/>
      <c r="EX141" s="354"/>
      <c r="EY141" s="354"/>
      <c r="EZ141" s="354"/>
      <c r="FA141" s="354"/>
      <c r="FB141" s="354"/>
      <c r="FC141" s="354"/>
      <c r="FD141" s="357"/>
      <c r="FE141" s="357"/>
      <c r="FF141" s="359"/>
      <c r="FG141" s="357"/>
      <c r="FH141" s="367"/>
      <c r="FI141" s="390"/>
      <c r="FJ141" s="359"/>
      <c r="FK141" s="357"/>
      <c r="FL141" s="354"/>
      <c r="FM141" s="357"/>
      <c r="FN141" s="357"/>
      <c r="FO141" s="354"/>
      <c r="FP141" s="357"/>
      <c r="FQ141" s="357"/>
      <c r="FR141" s="358"/>
      <c r="FS141" s="362"/>
      <c r="FT141" s="387"/>
      <c r="FU141" s="357"/>
      <c r="FV141" s="355"/>
      <c r="FW141" s="362"/>
      <c r="FX141" s="362"/>
      <c r="FY141" s="359"/>
      <c r="FZ141" s="357"/>
      <c r="GA141" s="357"/>
      <c r="GB141" s="354"/>
      <c r="GC141" s="357"/>
      <c r="GD141" s="357"/>
      <c r="GE141" s="354"/>
      <c r="GF141" s="357"/>
      <c r="GG141" s="357"/>
      <c r="GH141" s="357"/>
      <c r="GI141" s="357"/>
      <c r="GJ141" s="357"/>
      <c r="GK141" s="357"/>
      <c r="GL141" s="357"/>
      <c r="GM141" s="357"/>
      <c r="GN141" s="357"/>
      <c r="GO141" s="357"/>
      <c r="GP141" s="357"/>
      <c r="GQ141" s="357"/>
      <c r="GR141" s="359"/>
    </row>
    <row r="142" spans="1:200" ht="13.5" customHeight="1" x14ac:dyDescent="0.2">
      <c r="A142" s="357"/>
      <c r="B142" s="357"/>
      <c r="C142" s="390"/>
      <c r="D142" s="357"/>
      <c r="E142" s="357"/>
      <c r="F142" s="357"/>
      <c r="G142" s="357"/>
      <c r="H142" s="390"/>
      <c r="I142" s="390"/>
      <c r="J142" s="367"/>
      <c r="K142" s="357"/>
      <c r="L142" s="359"/>
      <c r="M142" s="359"/>
      <c r="N142" s="359"/>
      <c r="O142" s="359"/>
      <c r="P142" s="359"/>
      <c r="Q142" s="359"/>
      <c r="R142" s="359"/>
      <c r="S142" s="359"/>
      <c r="T142" s="359"/>
      <c r="U142" s="358"/>
      <c r="V142" s="358"/>
      <c r="W142" s="358"/>
      <c r="X142" s="380"/>
      <c r="Y142" s="354"/>
      <c r="Z142" s="354"/>
      <c r="AA142" s="380"/>
      <c r="AB142" s="369"/>
      <c r="AC142" s="354"/>
      <c r="AD142" s="354"/>
      <c r="AE142" s="354"/>
      <c r="AF142" s="354"/>
      <c r="AG142" s="380"/>
      <c r="AH142" s="380"/>
      <c r="AI142" s="380"/>
      <c r="AJ142" s="354"/>
      <c r="AK142" s="357"/>
      <c r="AL142" s="354"/>
      <c r="AM142" s="354"/>
      <c r="AN142" s="354"/>
      <c r="AO142" s="354"/>
      <c r="AP142" s="380"/>
      <c r="AQ142" s="357"/>
      <c r="AR142" s="357"/>
      <c r="AS142" s="357"/>
      <c r="AT142" s="380"/>
      <c r="AU142" s="354"/>
      <c r="AV142" s="357"/>
      <c r="AW142" s="357"/>
      <c r="AX142" s="354"/>
      <c r="AY142" s="380"/>
      <c r="AZ142" s="380"/>
      <c r="BA142" s="354"/>
      <c r="BB142" s="357"/>
      <c r="BC142" s="354"/>
      <c r="BD142" s="354"/>
      <c r="BE142" s="354"/>
      <c r="BF142" s="381"/>
      <c r="BG142" s="369"/>
      <c r="BH142" s="354"/>
      <c r="BI142" s="354"/>
      <c r="BJ142" s="354"/>
      <c r="BK142" s="354"/>
      <c r="BL142" s="354"/>
      <c r="BM142" s="357"/>
      <c r="BN142" s="380"/>
      <c r="BO142" s="380"/>
      <c r="BP142" s="354"/>
      <c r="BQ142" s="354"/>
      <c r="BR142" s="354"/>
      <c r="BS142" s="354"/>
      <c r="BT142" s="380"/>
      <c r="BU142" s="354"/>
      <c r="BV142" s="354"/>
      <c r="BW142" s="380"/>
      <c r="BX142" s="357"/>
      <c r="BY142" s="357"/>
      <c r="BZ142" s="357"/>
      <c r="CA142" s="354"/>
      <c r="CB142" s="354"/>
      <c r="CC142" s="354"/>
      <c r="CD142" s="393"/>
      <c r="CE142" s="393"/>
      <c r="CF142" s="393"/>
      <c r="CG142" s="393"/>
      <c r="CH142" s="393"/>
      <c r="CI142" s="393"/>
      <c r="CJ142" s="393"/>
      <c r="CK142" s="393"/>
      <c r="CL142" s="393"/>
      <c r="CM142" s="393"/>
      <c r="CN142" s="393"/>
      <c r="CO142" s="393"/>
      <c r="CP142" s="393"/>
      <c r="CQ142" s="393"/>
      <c r="CR142" s="393"/>
      <c r="CS142" s="393"/>
      <c r="CT142" s="393"/>
      <c r="CU142" s="393"/>
      <c r="CV142" s="393"/>
      <c r="CW142" s="393"/>
      <c r="CX142" s="393"/>
      <c r="CY142" s="393"/>
      <c r="CZ142" s="393"/>
      <c r="DA142" s="393"/>
      <c r="DB142" s="393"/>
      <c r="DC142" s="393"/>
      <c r="DD142" s="393"/>
      <c r="DE142" s="393"/>
      <c r="DF142" s="393"/>
      <c r="DG142" s="393"/>
      <c r="DH142" s="393"/>
      <c r="DI142" s="393"/>
      <c r="DJ142" s="393"/>
      <c r="DK142" s="393"/>
      <c r="DL142" s="393"/>
      <c r="DM142" s="393"/>
      <c r="DN142" s="393"/>
      <c r="DO142" s="393"/>
      <c r="DP142" s="393"/>
      <c r="DQ142" s="393"/>
      <c r="DR142" s="393"/>
      <c r="DS142" s="393"/>
      <c r="DT142" s="393"/>
      <c r="DU142" s="393"/>
      <c r="DV142" s="354"/>
      <c r="DW142" s="354"/>
      <c r="DX142" s="357"/>
      <c r="DY142" s="354"/>
      <c r="DZ142" s="357"/>
      <c r="EA142" s="357"/>
      <c r="EB142" s="354"/>
      <c r="EC142" s="354"/>
      <c r="ED142" s="354"/>
      <c r="EE142" s="357"/>
      <c r="EF142" s="357"/>
      <c r="EG142" s="357"/>
      <c r="EH142" s="355"/>
      <c r="EI142" s="363"/>
      <c r="EJ142" s="369"/>
      <c r="EK142" s="357"/>
      <c r="EL142" s="359"/>
      <c r="EM142" s="359"/>
      <c r="EN142" s="359"/>
      <c r="EO142" s="359"/>
      <c r="EP142" s="358"/>
      <c r="EQ142" s="362"/>
      <c r="ER142" s="358"/>
      <c r="ES142" s="357"/>
      <c r="ET142" s="355"/>
      <c r="EU142" s="390"/>
      <c r="EV142" s="357"/>
      <c r="EW142" s="355"/>
      <c r="EX142" s="355"/>
      <c r="EY142" s="362"/>
      <c r="EZ142" s="355"/>
      <c r="FA142" s="356"/>
      <c r="FB142" s="355"/>
      <c r="FC142" s="358"/>
      <c r="FD142" s="355"/>
      <c r="FE142" s="380"/>
      <c r="FF142" s="363"/>
      <c r="FG142" s="354"/>
      <c r="FH142" s="357"/>
      <c r="FI142" s="357"/>
      <c r="FJ142" s="369"/>
      <c r="FK142" s="369"/>
      <c r="FL142" s="369"/>
      <c r="FM142" s="369"/>
      <c r="FN142" s="369"/>
      <c r="FO142" s="357"/>
      <c r="FP142" s="357"/>
      <c r="FQ142" s="355"/>
      <c r="FR142" s="358"/>
      <c r="FS142" s="358"/>
      <c r="FT142" s="367"/>
      <c r="FU142" s="357"/>
      <c r="FV142" s="355"/>
      <c r="FW142" s="362"/>
      <c r="FX142" s="359"/>
      <c r="FY142" s="357"/>
      <c r="FZ142" s="357"/>
      <c r="GA142" s="357"/>
      <c r="GB142" s="357"/>
      <c r="GC142" s="354"/>
      <c r="GD142" s="357"/>
      <c r="GE142" s="354"/>
      <c r="GF142" s="357"/>
      <c r="GG142" s="357"/>
      <c r="GH142" s="354"/>
      <c r="GI142" s="357"/>
      <c r="GJ142" s="357"/>
      <c r="GK142" s="357"/>
      <c r="GL142" s="357"/>
      <c r="GM142" s="357"/>
      <c r="GN142" s="357"/>
      <c r="GO142" s="357"/>
      <c r="GP142" s="357"/>
      <c r="GQ142" s="357"/>
      <c r="GR142" s="357"/>
    </row>
    <row r="143" spans="1:200" ht="13.5" customHeight="1" x14ac:dyDescent="0.2">
      <c r="A143" s="359"/>
      <c r="B143" s="357"/>
      <c r="C143" s="357"/>
      <c r="D143" s="357"/>
      <c r="E143" s="390"/>
      <c r="F143" s="390"/>
      <c r="G143" s="390"/>
      <c r="H143" s="390"/>
      <c r="I143" s="390"/>
      <c r="J143" s="359"/>
      <c r="K143" s="359"/>
      <c r="L143" s="359"/>
      <c r="M143" s="357"/>
      <c r="N143" s="355"/>
      <c r="O143" s="355"/>
      <c r="P143" s="355"/>
      <c r="Q143" s="355"/>
      <c r="R143" s="355"/>
      <c r="S143" s="355"/>
      <c r="T143" s="355"/>
      <c r="U143" s="390"/>
      <c r="V143" s="367"/>
      <c r="W143" s="390"/>
      <c r="X143" s="354"/>
      <c r="Y143" s="390"/>
      <c r="Z143" s="354"/>
      <c r="AA143" s="380"/>
      <c r="AB143" s="380"/>
      <c r="AC143" s="354"/>
      <c r="AD143" s="354"/>
      <c r="AE143" s="354"/>
      <c r="AF143" s="354"/>
      <c r="AG143" s="354"/>
      <c r="AH143" s="380"/>
      <c r="AI143" s="380"/>
      <c r="AJ143" s="380"/>
      <c r="AK143" s="354"/>
      <c r="AL143" s="354"/>
      <c r="AM143" s="354"/>
      <c r="AN143" s="357"/>
      <c r="AO143" s="354"/>
      <c r="AP143" s="380"/>
      <c r="AQ143" s="380"/>
      <c r="AR143" s="357"/>
      <c r="AS143" s="354"/>
      <c r="AT143" s="354"/>
      <c r="AU143" s="357"/>
      <c r="AV143" s="357"/>
      <c r="AW143" s="354"/>
      <c r="AX143" s="354"/>
      <c r="AY143" s="380"/>
      <c r="AZ143" s="380"/>
      <c r="BA143" s="354"/>
      <c r="BB143" s="354"/>
      <c r="BC143" s="357"/>
      <c r="BD143" s="354"/>
      <c r="BE143" s="354"/>
      <c r="BF143" s="381"/>
      <c r="BG143" s="380"/>
      <c r="BH143" s="354"/>
      <c r="BI143" s="380"/>
      <c r="BJ143" s="354"/>
      <c r="BK143" s="354"/>
      <c r="BL143" s="357"/>
      <c r="BM143" s="357"/>
      <c r="BN143" s="380"/>
      <c r="BO143" s="354"/>
      <c r="BP143" s="354"/>
      <c r="BQ143" s="354"/>
      <c r="BR143" s="354"/>
      <c r="BS143" s="381"/>
      <c r="BT143" s="354"/>
      <c r="BU143" s="354"/>
      <c r="BV143" s="380"/>
      <c r="BW143" s="390"/>
      <c r="BX143" s="357"/>
      <c r="BY143" s="357"/>
      <c r="BZ143" s="380"/>
      <c r="CA143" s="357"/>
      <c r="CB143" s="354"/>
      <c r="CC143" s="354"/>
      <c r="CD143" s="393"/>
      <c r="CE143" s="393"/>
      <c r="CF143" s="393"/>
      <c r="CG143" s="393"/>
      <c r="CH143" s="393"/>
      <c r="CI143" s="393"/>
      <c r="CJ143" s="393"/>
      <c r="CK143" s="393"/>
      <c r="CL143" s="393"/>
      <c r="CM143" s="393"/>
      <c r="CN143" s="393"/>
      <c r="CO143" s="393"/>
      <c r="CP143" s="393"/>
      <c r="CQ143" s="393"/>
      <c r="CR143" s="393"/>
      <c r="CS143" s="393"/>
      <c r="CT143" s="393"/>
      <c r="CU143" s="393"/>
      <c r="CV143" s="393"/>
      <c r="CW143" s="393"/>
      <c r="CX143" s="393"/>
      <c r="CY143" s="393"/>
      <c r="CZ143" s="393"/>
      <c r="DA143" s="393"/>
      <c r="DB143" s="393"/>
      <c r="DC143" s="393"/>
      <c r="DD143" s="393"/>
      <c r="DE143" s="393"/>
      <c r="DF143" s="393"/>
      <c r="DG143" s="393"/>
      <c r="DH143" s="393"/>
      <c r="DI143" s="393"/>
      <c r="DJ143" s="393"/>
      <c r="DK143" s="393"/>
      <c r="DL143" s="393"/>
      <c r="DM143" s="393"/>
      <c r="DN143" s="393"/>
      <c r="DO143" s="393"/>
      <c r="DP143" s="393"/>
      <c r="DQ143" s="393"/>
      <c r="DR143" s="393"/>
      <c r="DS143" s="393"/>
      <c r="DT143" s="393"/>
      <c r="DU143" s="393"/>
      <c r="DV143" s="354"/>
      <c r="DW143" s="354"/>
      <c r="DX143" s="354"/>
      <c r="DY143" s="354"/>
      <c r="DZ143" s="354"/>
      <c r="EA143" s="357"/>
      <c r="EB143" s="357"/>
      <c r="EC143" s="354"/>
      <c r="ED143" s="357"/>
      <c r="EE143" s="354"/>
      <c r="EF143" s="357"/>
      <c r="EG143" s="390"/>
      <c r="EH143" s="357"/>
      <c r="EI143" s="359"/>
      <c r="EJ143" s="359"/>
      <c r="EK143" s="359"/>
      <c r="EL143" s="359"/>
      <c r="EM143" s="357"/>
      <c r="EN143" s="354"/>
      <c r="EO143" s="354"/>
      <c r="EP143" s="354"/>
      <c r="EQ143" s="354"/>
      <c r="ER143" s="354"/>
      <c r="ES143" s="354"/>
      <c r="ET143" s="390"/>
      <c r="EU143" s="390"/>
      <c r="EV143" s="354"/>
      <c r="EW143" s="355"/>
      <c r="EX143" s="362"/>
      <c r="EY143" s="362"/>
      <c r="EZ143" s="362"/>
      <c r="FA143" s="363"/>
      <c r="FB143" s="355"/>
      <c r="FC143" s="362"/>
      <c r="FD143" s="355"/>
      <c r="FE143" s="355"/>
      <c r="FF143" s="363"/>
      <c r="FG143" s="369"/>
      <c r="FH143" s="380"/>
      <c r="FI143" s="369"/>
      <c r="FJ143" s="369"/>
      <c r="FK143" s="369"/>
      <c r="FL143" s="369"/>
      <c r="FM143" s="369"/>
      <c r="FN143" s="369"/>
      <c r="FO143" s="390"/>
      <c r="FP143" s="357"/>
      <c r="FQ143" s="355"/>
      <c r="FR143" s="357"/>
      <c r="FS143" s="359"/>
      <c r="FT143" s="358"/>
      <c r="FU143" s="357"/>
      <c r="FV143" s="357"/>
      <c r="FW143" s="357"/>
      <c r="FX143" s="357"/>
      <c r="FY143" s="357"/>
      <c r="FZ143" s="357"/>
      <c r="GA143" s="354"/>
      <c r="GB143" s="357"/>
      <c r="GC143" s="355"/>
      <c r="GD143" s="355"/>
      <c r="GE143" s="355"/>
      <c r="GF143" s="358"/>
      <c r="GG143" s="355"/>
      <c r="GH143" s="355"/>
      <c r="GI143" s="355"/>
      <c r="GJ143" s="355"/>
      <c r="GK143" s="355"/>
      <c r="GL143" s="357"/>
      <c r="GM143" s="390"/>
      <c r="GN143" s="358"/>
      <c r="GO143" s="390"/>
      <c r="GP143" s="359"/>
      <c r="GQ143" s="390"/>
      <c r="GR143" s="390"/>
    </row>
    <row r="144" spans="1:200" ht="13.5" customHeight="1" x14ac:dyDescent="0.2">
      <c r="A144" s="390"/>
      <c r="B144" s="390"/>
      <c r="C144" s="355"/>
      <c r="D144" s="355"/>
      <c r="E144" s="369"/>
      <c r="F144" s="390"/>
      <c r="G144" s="390"/>
      <c r="H144" s="390"/>
      <c r="I144" s="359"/>
      <c r="J144" s="359"/>
      <c r="K144" s="358"/>
      <c r="L144" s="359"/>
      <c r="M144" s="357"/>
      <c r="N144" s="397"/>
      <c r="O144" s="397"/>
      <c r="P144" s="355"/>
      <c r="Q144" s="355"/>
      <c r="R144" s="355"/>
      <c r="S144" s="355"/>
      <c r="T144" s="355"/>
      <c r="U144" s="355"/>
      <c r="V144" s="355"/>
      <c r="W144" s="355"/>
      <c r="X144" s="354"/>
      <c r="Y144" s="380"/>
      <c r="Z144" s="354"/>
      <c r="AA144" s="380"/>
      <c r="AB144" s="380"/>
      <c r="AC144" s="354"/>
      <c r="AD144" s="357"/>
      <c r="AE144" s="354"/>
      <c r="AF144" s="354"/>
      <c r="AG144" s="354"/>
      <c r="AH144" s="354"/>
      <c r="AI144" s="380"/>
      <c r="AJ144" s="380"/>
      <c r="AK144" s="380"/>
      <c r="AL144" s="354"/>
      <c r="AM144" s="357"/>
      <c r="AN144" s="357"/>
      <c r="AO144" s="354"/>
      <c r="AP144" s="380"/>
      <c r="AQ144" s="357"/>
      <c r="AR144" s="354"/>
      <c r="AS144" s="357"/>
      <c r="AT144" s="354"/>
      <c r="AU144" s="357"/>
      <c r="AV144" s="354"/>
      <c r="AW144" s="354"/>
      <c r="AX144" s="380"/>
      <c r="AY144" s="380"/>
      <c r="AZ144" s="354"/>
      <c r="BA144" s="354"/>
      <c r="BB144" s="390"/>
      <c r="BC144" s="354"/>
      <c r="BD144" s="357"/>
      <c r="BE144" s="354"/>
      <c r="BF144" s="380"/>
      <c r="BG144" s="354"/>
      <c r="BH144" s="380"/>
      <c r="BI144" s="380"/>
      <c r="BJ144" s="357"/>
      <c r="BK144" s="357"/>
      <c r="BL144" s="354"/>
      <c r="BM144" s="357"/>
      <c r="BN144" s="354"/>
      <c r="BO144" s="354"/>
      <c r="BP144" s="354"/>
      <c r="BQ144" s="354"/>
      <c r="BR144" s="381"/>
      <c r="BS144" s="381"/>
      <c r="BT144" s="354"/>
      <c r="BU144" s="354"/>
      <c r="BV144" s="357"/>
      <c r="BW144" s="369"/>
      <c r="BX144" s="357"/>
      <c r="BY144" s="387"/>
      <c r="BZ144" s="357"/>
      <c r="CA144" s="357"/>
      <c r="CB144" s="354"/>
      <c r="CC144" s="354"/>
      <c r="CD144" s="393"/>
      <c r="CE144" s="393"/>
      <c r="CF144" s="393"/>
      <c r="CG144" s="393"/>
      <c r="CH144" s="393"/>
      <c r="CI144" s="393"/>
      <c r="CJ144" s="393"/>
      <c r="CK144" s="393"/>
      <c r="CL144" s="395"/>
      <c r="CM144" s="395"/>
      <c r="CN144" s="395"/>
      <c r="CO144" s="395"/>
      <c r="CP144" s="395"/>
      <c r="CQ144" s="395"/>
      <c r="CR144" s="381"/>
      <c r="CS144" s="393"/>
      <c r="CT144" s="393"/>
      <c r="CU144" s="393"/>
      <c r="CV144" s="393"/>
      <c r="CW144" s="393"/>
      <c r="CX144" s="393"/>
      <c r="CY144" s="393"/>
      <c r="CZ144" s="393"/>
      <c r="DA144" s="381"/>
      <c r="DB144" s="395"/>
      <c r="DC144" s="395"/>
      <c r="DD144" s="354"/>
      <c r="DE144" s="354"/>
      <c r="DF144" s="354"/>
      <c r="DG144" s="393"/>
      <c r="DH144" s="393"/>
      <c r="DI144" s="393"/>
      <c r="DJ144" s="393"/>
      <c r="DK144" s="393"/>
      <c r="DL144" s="393"/>
      <c r="DM144" s="393"/>
      <c r="DN144" s="393"/>
      <c r="DO144" s="393"/>
      <c r="DP144" s="393"/>
      <c r="DQ144" s="393"/>
      <c r="DR144" s="395"/>
      <c r="DS144" s="393"/>
      <c r="DT144" s="393"/>
      <c r="DU144" s="395"/>
      <c r="DV144" s="354"/>
      <c r="DW144" s="390"/>
      <c r="DX144" s="367"/>
      <c r="DY144" s="354"/>
      <c r="DZ144" s="357"/>
      <c r="EA144" s="357"/>
      <c r="EB144" s="357"/>
      <c r="EC144" s="354"/>
      <c r="ED144" s="354"/>
      <c r="EE144" s="354"/>
      <c r="EF144" s="354"/>
      <c r="EG144" s="357"/>
      <c r="EH144" s="357"/>
      <c r="EI144" s="359"/>
      <c r="EJ144" s="359"/>
      <c r="EK144" s="359"/>
      <c r="EL144" s="359"/>
      <c r="EM144" s="359"/>
      <c r="EN144" s="354"/>
      <c r="EO144" s="357"/>
      <c r="EP144" s="357"/>
      <c r="EQ144" s="354"/>
      <c r="ER144" s="354"/>
      <c r="ES144" s="354"/>
      <c r="ET144" s="359"/>
      <c r="EU144" s="359"/>
      <c r="EV144" s="357"/>
      <c r="EW144" s="361"/>
      <c r="EX144" s="362"/>
      <c r="EY144" s="362"/>
      <c r="EZ144" s="355"/>
      <c r="FA144" s="363"/>
      <c r="FB144" s="355"/>
      <c r="FC144" s="362"/>
      <c r="FD144" s="362"/>
      <c r="FE144" s="358"/>
      <c r="FF144" s="356"/>
      <c r="FG144" s="356"/>
      <c r="FH144" s="357"/>
      <c r="FI144" s="380"/>
      <c r="FJ144" s="390"/>
      <c r="FK144" s="369"/>
      <c r="FL144" s="369"/>
      <c r="FM144" s="355"/>
      <c r="FN144" s="390"/>
      <c r="FO144" s="357"/>
      <c r="FP144" s="357"/>
      <c r="FQ144" s="390"/>
      <c r="FR144" s="354"/>
      <c r="FS144" s="354"/>
      <c r="FT144" s="354"/>
      <c r="FU144" s="354"/>
      <c r="FV144" s="354"/>
      <c r="FW144" s="357"/>
      <c r="FX144" s="357"/>
      <c r="FY144" s="359"/>
      <c r="FZ144" s="361"/>
      <c r="GA144" s="361"/>
      <c r="GB144" s="361"/>
      <c r="GC144" s="362"/>
      <c r="GD144" s="362"/>
      <c r="GE144" s="362"/>
      <c r="GF144" s="358"/>
      <c r="GG144" s="358"/>
      <c r="GH144" s="355"/>
      <c r="GI144" s="355"/>
      <c r="GJ144" s="355"/>
      <c r="GK144" s="355"/>
      <c r="GL144" s="355"/>
      <c r="GM144" s="355"/>
      <c r="GN144" s="358"/>
      <c r="GO144" s="355"/>
      <c r="GP144" s="355"/>
      <c r="GQ144" s="355"/>
      <c r="GR144" s="356"/>
    </row>
    <row r="145" spans="1:200" ht="13.5" customHeight="1" x14ac:dyDescent="0.2">
      <c r="A145" s="358"/>
      <c r="B145" s="367"/>
      <c r="C145" s="355"/>
      <c r="D145" s="355"/>
      <c r="E145" s="390"/>
      <c r="F145" s="358"/>
      <c r="G145" s="362"/>
      <c r="H145" s="359"/>
      <c r="I145" s="390"/>
      <c r="J145" s="358"/>
      <c r="K145" s="390"/>
      <c r="L145" s="390"/>
      <c r="M145" s="390"/>
      <c r="N145" s="355"/>
      <c r="O145" s="357"/>
      <c r="P145" s="397"/>
      <c r="Q145" s="397"/>
      <c r="R145" s="355"/>
      <c r="S145" s="355"/>
      <c r="T145" s="397"/>
      <c r="U145" s="397"/>
      <c r="V145" s="390"/>
      <c r="W145" s="355"/>
      <c r="X145" s="354"/>
      <c r="Y145" s="380"/>
      <c r="Z145" s="354"/>
      <c r="AA145" s="380"/>
      <c r="AB145" s="380"/>
      <c r="AC145" s="390"/>
      <c r="AD145" s="354"/>
      <c r="AE145" s="354"/>
      <c r="AF145" s="354"/>
      <c r="AG145" s="354"/>
      <c r="AH145" s="354"/>
      <c r="AI145" s="354"/>
      <c r="AJ145" s="381"/>
      <c r="AK145" s="381"/>
      <c r="AL145" s="354"/>
      <c r="AM145" s="357"/>
      <c r="AN145" s="354"/>
      <c r="AO145" s="354"/>
      <c r="AP145" s="380"/>
      <c r="AQ145" s="357"/>
      <c r="AR145" s="354"/>
      <c r="AS145" s="354"/>
      <c r="AT145" s="354"/>
      <c r="AU145" s="357"/>
      <c r="AV145" s="354"/>
      <c r="AW145" s="357"/>
      <c r="AX145" s="390"/>
      <c r="AY145" s="357"/>
      <c r="AZ145" s="357"/>
      <c r="BA145" s="354"/>
      <c r="BB145" s="354"/>
      <c r="BC145" s="380"/>
      <c r="BD145" s="354"/>
      <c r="BE145" s="354"/>
      <c r="BF145" s="380"/>
      <c r="BG145" s="380"/>
      <c r="BH145" s="380"/>
      <c r="BI145" s="357"/>
      <c r="BJ145" s="357"/>
      <c r="BK145" s="354"/>
      <c r="BL145" s="354"/>
      <c r="BM145" s="357"/>
      <c r="BN145" s="354"/>
      <c r="BO145" s="354"/>
      <c r="BP145" s="354"/>
      <c r="BQ145" s="354"/>
      <c r="BR145" s="381"/>
      <c r="BS145" s="381"/>
      <c r="BT145" s="354"/>
      <c r="BU145" s="354"/>
      <c r="BV145" s="380"/>
      <c r="BW145" s="369"/>
      <c r="BX145" s="357"/>
      <c r="BY145" s="387"/>
      <c r="BZ145" s="357"/>
      <c r="CA145" s="357"/>
      <c r="CB145" s="354"/>
      <c r="CC145" s="354"/>
      <c r="CD145" s="354"/>
      <c r="CE145" s="354"/>
      <c r="CF145" s="354"/>
      <c r="CG145" s="354"/>
      <c r="CH145" s="354"/>
      <c r="CI145" s="354"/>
      <c r="CJ145" s="354"/>
      <c r="CK145" s="354"/>
      <c r="CL145" s="354"/>
      <c r="CM145" s="354"/>
      <c r="CN145" s="354"/>
      <c r="CO145" s="354"/>
      <c r="CP145" s="354"/>
      <c r="CQ145" s="354"/>
      <c r="CR145" s="354"/>
      <c r="CS145" s="354"/>
      <c r="CT145" s="354"/>
      <c r="CU145" s="354"/>
      <c r="CV145" s="354"/>
      <c r="CW145" s="354"/>
      <c r="CX145" s="354"/>
      <c r="CY145" s="354"/>
      <c r="CZ145" s="354"/>
      <c r="DA145" s="354"/>
      <c r="DB145" s="354"/>
      <c r="DC145" s="354"/>
      <c r="DD145" s="354"/>
      <c r="DE145" s="354"/>
      <c r="DF145" s="354"/>
      <c r="DG145" s="354"/>
      <c r="DH145" s="354"/>
      <c r="DI145" s="354"/>
      <c r="DJ145" s="354"/>
      <c r="DK145" s="354"/>
      <c r="DL145" s="354"/>
      <c r="DM145" s="354"/>
      <c r="DN145" s="354"/>
      <c r="DO145" s="354"/>
      <c r="DP145" s="354"/>
      <c r="DQ145" s="354"/>
      <c r="DR145" s="354"/>
      <c r="DS145" s="354"/>
      <c r="DT145" s="354"/>
      <c r="DU145" s="354"/>
      <c r="DV145" s="354"/>
      <c r="DW145" s="357"/>
      <c r="DX145" s="354"/>
      <c r="DY145" s="354"/>
      <c r="DZ145" s="357"/>
      <c r="EA145" s="354"/>
      <c r="EB145" s="354"/>
      <c r="EC145" s="354"/>
      <c r="ED145" s="354"/>
      <c r="EE145" s="357"/>
      <c r="EF145" s="357"/>
      <c r="EG145" s="357"/>
      <c r="EH145" s="357"/>
      <c r="EI145" s="357"/>
      <c r="EJ145" s="357"/>
      <c r="EK145" s="357"/>
      <c r="EL145" s="357"/>
      <c r="EM145" s="357"/>
      <c r="EN145" s="354"/>
      <c r="EO145" s="357"/>
      <c r="EP145" s="354"/>
      <c r="EQ145" s="354"/>
      <c r="ER145" s="357"/>
      <c r="ES145" s="354"/>
      <c r="ET145" s="357"/>
      <c r="EU145" s="357"/>
      <c r="EV145" s="357"/>
      <c r="EW145" s="362"/>
      <c r="EX145" s="362"/>
      <c r="EY145" s="387"/>
      <c r="EZ145" s="367"/>
      <c r="FA145" s="367"/>
      <c r="FB145" s="357"/>
      <c r="FC145" s="357"/>
      <c r="FD145" s="359"/>
      <c r="FE145" s="362"/>
      <c r="FF145" s="356"/>
      <c r="FG145" s="356"/>
      <c r="FH145" s="357"/>
      <c r="FI145" s="361"/>
      <c r="FJ145" s="361"/>
      <c r="FK145" s="361"/>
      <c r="FL145" s="361"/>
      <c r="FM145" s="355"/>
      <c r="FN145" s="360"/>
      <c r="FO145" s="361"/>
      <c r="FP145" s="357"/>
      <c r="FQ145" s="367"/>
      <c r="FR145" s="367"/>
      <c r="FS145" s="367"/>
      <c r="FT145" s="367"/>
      <c r="FU145" s="390"/>
      <c r="FV145" s="367"/>
      <c r="FW145" s="357"/>
      <c r="FX145" s="357"/>
      <c r="FY145" s="359"/>
      <c r="FZ145" s="359"/>
      <c r="GA145" s="359"/>
      <c r="GB145" s="358"/>
      <c r="GC145" s="358"/>
      <c r="GD145" s="359"/>
      <c r="GE145" s="359"/>
      <c r="GF145" s="362"/>
      <c r="GG145" s="359"/>
      <c r="GH145" s="359"/>
      <c r="GI145" s="357"/>
      <c r="GJ145" s="357"/>
      <c r="GK145" s="354"/>
      <c r="GL145" s="361"/>
      <c r="GM145" s="356"/>
      <c r="GN145" s="361"/>
      <c r="GO145" s="361"/>
      <c r="GP145" s="362"/>
      <c r="GQ145" s="362"/>
      <c r="GR145" s="362"/>
    </row>
    <row r="146" spans="1:200" ht="13.5" customHeight="1" x14ac:dyDescent="0.2">
      <c r="A146" s="355"/>
      <c r="B146" s="358"/>
      <c r="C146" s="359"/>
      <c r="D146" s="357"/>
      <c r="E146" s="355"/>
      <c r="F146" s="355"/>
      <c r="G146" s="358"/>
      <c r="H146" s="358"/>
      <c r="I146" s="358"/>
      <c r="J146" s="359"/>
      <c r="K146" s="359"/>
      <c r="L146" s="359"/>
      <c r="M146" s="357"/>
      <c r="N146" s="357"/>
      <c r="O146" s="357"/>
      <c r="P146" s="354"/>
      <c r="Q146" s="354"/>
      <c r="R146" s="354"/>
      <c r="S146" s="355"/>
      <c r="T146" s="397"/>
      <c r="U146" s="397"/>
      <c r="V146" s="397"/>
      <c r="W146" s="367"/>
      <c r="X146" s="397"/>
      <c r="Y146" s="354"/>
      <c r="Z146" s="354"/>
      <c r="AA146" s="354"/>
      <c r="AB146" s="380"/>
      <c r="AC146" s="380"/>
      <c r="AD146" s="354"/>
      <c r="AE146" s="354"/>
      <c r="AF146" s="354"/>
      <c r="AG146" s="354"/>
      <c r="AH146" s="354"/>
      <c r="AI146" s="354"/>
      <c r="AJ146" s="380"/>
      <c r="AK146" s="380"/>
      <c r="AL146" s="357"/>
      <c r="AM146" s="357"/>
      <c r="AN146" s="357"/>
      <c r="AO146" s="354"/>
      <c r="AP146" s="357"/>
      <c r="AQ146" s="354"/>
      <c r="AR146" s="357"/>
      <c r="AS146" s="354"/>
      <c r="AT146" s="354"/>
      <c r="AU146" s="354"/>
      <c r="AV146" s="357"/>
      <c r="AW146" s="357"/>
      <c r="AX146" s="354"/>
      <c r="AY146" s="354"/>
      <c r="AZ146" s="354"/>
      <c r="BA146" s="354"/>
      <c r="BB146" s="354"/>
      <c r="BC146" s="354"/>
      <c r="BD146" s="354"/>
      <c r="BE146" s="354"/>
      <c r="BF146" s="380"/>
      <c r="BG146" s="380"/>
      <c r="BH146" s="357"/>
      <c r="BI146" s="357"/>
      <c r="BJ146" s="357"/>
      <c r="BK146" s="354"/>
      <c r="BL146" s="357"/>
      <c r="BM146" s="354"/>
      <c r="BN146" s="354"/>
      <c r="BO146" s="354"/>
      <c r="BP146" s="354"/>
      <c r="BQ146" s="354"/>
      <c r="BR146" s="381"/>
      <c r="BS146" s="354"/>
      <c r="BT146" s="354"/>
      <c r="BU146" s="354"/>
      <c r="BV146" s="380"/>
      <c r="BW146" s="355"/>
      <c r="BX146" s="357"/>
      <c r="BY146" s="387"/>
      <c r="BZ146" s="357"/>
      <c r="CA146" s="357"/>
      <c r="CB146" s="354"/>
      <c r="CC146" s="354"/>
      <c r="CD146" s="354"/>
      <c r="CE146" s="354"/>
      <c r="CF146" s="393"/>
      <c r="CG146" s="381"/>
      <c r="CH146" s="393"/>
      <c r="CI146" s="393"/>
      <c r="CJ146" s="393"/>
      <c r="CK146" s="393"/>
      <c r="CL146" s="393"/>
      <c r="CM146" s="393"/>
      <c r="CN146" s="393"/>
      <c r="CO146" s="393"/>
      <c r="CP146" s="393"/>
      <c r="CQ146" s="393"/>
      <c r="CR146" s="393"/>
      <c r="CS146" s="393"/>
      <c r="CT146" s="393"/>
      <c r="CU146" s="381"/>
      <c r="CV146" s="354"/>
      <c r="CW146" s="354"/>
      <c r="CX146" s="354"/>
      <c r="CY146" s="381"/>
      <c r="CZ146" s="381"/>
      <c r="DA146" s="395"/>
      <c r="DB146" s="393"/>
      <c r="DC146" s="393"/>
      <c r="DD146" s="393"/>
      <c r="DE146" s="393"/>
      <c r="DF146" s="395"/>
      <c r="DG146" s="354"/>
      <c r="DH146" s="381"/>
      <c r="DI146" s="393"/>
      <c r="DJ146" s="393"/>
      <c r="DK146" s="381"/>
      <c r="DL146" s="354"/>
      <c r="DM146" s="381"/>
      <c r="DN146" s="381"/>
      <c r="DO146" s="381"/>
      <c r="DP146" s="381"/>
      <c r="DQ146" s="381"/>
      <c r="DR146" s="393"/>
      <c r="DS146" s="393"/>
      <c r="DT146" s="354"/>
      <c r="DU146" s="354"/>
      <c r="DV146" s="354"/>
      <c r="DW146" s="354"/>
      <c r="DX146" s="354"/>
      <c r="DY146" s="358"/>
      <c r="DZ146" s="358"/>
      <c r="EA146" s="354"/>
      <c r="EB146" s="354"/>
      <c r="EC146" s="354"/>
      <c r="ED146" s="354"/>
      <c r="EE146" s="357"/>
      <c r="EF146" s="357"/>
      <c r="EG146" s="357"/>
      <c r="EH146" s="354"/>
      <c r="EI146" s="357"/>
      <c r="EJ146" s="357"/>
      <c r="EK146" s="354"/>
      <c r="EL146" s="354"/>
      <c r="EM146" s="357"/>
      <c r="EN146" s="354"/>
      <c r="EO146" s="354"/>
      <c r="EP146" s="354"/>
      <c r="EQ146" s="357"/>
      <c r="ER146" s="354"/>
      <c r="ES146" s="357"/>
      <c r="ET146" s="357"/>
      <c r="EU146" s="357"/>
      <c r="EV146" s="358"/>
      <c r="EW146" s="362"/>
      <c r="EX146" s="387"/>
      <c r="EY146" s="387"/>
      <c r="EZ146" s="387"/>
      <c r="FA146" s="387"/>
      <c r="FB146" s="359"/>
      <c r="FC146" s="357"/>
      <c r="FD146" s="357"/>
      <c r="FE146" s="357"/>
      <c r="FF146" s="354"/>
      <c r="FG146" s="369"/>
      <c r="FH146" s="359"/>
      <c r="FI146" s="361"/>
      <c r="FJ146" s="361"/>
      <c r="FK146" s="361"/>
      <c r="FL146" s="361"/>
      <c r="FM146" s="361"/>
      <c r="FN146" s="361"/>
      <c r="FO146" s="356"/>
      <c r="FP146" s="357"/>
      <c r="FQ146" s="357"/>
      <c r="FR146" s="357"/>
      <c r="FS146" s="357"/>
      <c r="FT146" s="357"/>
      <c r="FU146" s="357"/>
      <c r="FV146" s="357"/>
      <c r="FW146" s="357"/>
      <c r="FX146" s="354"/>
      <c r="FY146" s="357"/>
      <c r="FZ146" s="390"/>
      <c r="GA146" s="390"/>
      <c r="GB146" s="390"/>
      <c r="GC146" s="359"/>
      <c r="GD146" s="359"/>
      <c r="GE146" s="359"/>
      <c r="GF146" s="359"/>
      <c r="GG146" s="359"/>
      <c r="GH146" s="360"/>
      <c r="GI146" s="360"/>
      <c r="GJ146" s="356"/>
      <c r="GK146" s="390"/>
      <c r="GL146" s="390"/>
      <c r="GM146" s="357"/>
      <c r="GN146" s="357"/>
      <c r="GO146" s="359"/>
      <c r="GP146" s="357"/>
      <c r="GQ146" s="357"/>
      <c r="GR146" s="357"/>
    </row>
    <row r="147" spans="1:200" ht="13.5" customHeight="1" x14ac:dyDescent="0.2">
      <c r="A147" s="359"/>
      <c r="B147" s="358"/>
      <c r="C147" s="358"/>
      <c r="D147" s="359"/>
      <c r="E147" s="367"/>
      <c r="F147" s="369"/>
      <c r="G147" s="367"/>
      <c r="H147" s="357"/>
      <c r="I147" s="357"/>
      <c r="J147" s="358"/>
      <c r="K147" s="390"/>
      <c r="L147" s="357"/>
      <c r="M147" s="357"/>
      <c r="N147" s="367"/>
      <c r="O147" s="367"/>
      <c r="P147" s="367"/>
      <c r="Q147" s="397"/>
      <c r="R147" s="354"/>
      <c r="S147" s="357"/>
      <c r="T147" s="354"/>
      <c r="U147" s="397"/>
      <c r="V147" s="363"/>
      <c r="W147" s="380"/>
      <c r="X147" s="380"/>
      <c r="Y147" s="380"/>
      <c r="Z147" s="390"/>
      <c r="AA147" s="380"/>
      <c r="AB147" s="369"/>
      <c r="AC147" s="380"/>
      <c r="AD147" s="380"/>
      <c r="AE147" s="380"/>
      <c r="AF147" s="354"/>
      <c r="AG147" s="357"/>
      <c r="AH147" s="354"/>
      <c r="AI147" s="354"/>
      <c r="AJ147" s="354"/>
      <c r="AK147" s="354"/>
      <c r="AL147" s="354"/>
      <c r="AM147" s="357"/>
      <c r="AN147" s="380"/>
      <c r="AO147" s="354"/>
      <c r="AP147" s="357"/>
      <c r="AQ147" s="354"/>
      <c r="AR147" s="357"/>
      <c r="AS147" s="354"/>
      <c r="AT147" s="380"/>
      <c r="AU147" s="357"/>
      <c r="AV147" s="354"/>
      <c r="AW147" s="354"/>
      <c r="AX147" s="354"/>
      <c r="AY147" s="354"/>
      <c r="AZ147" s="354"/>
      <c r="BA147" s="354"/>
      <c r="BB147" s="354"/>
      <c r="BC147" s="354"/>
      <c r="BD147" s="357"/>
      <c r="BE147" s="380"/>
      <c r="BF147" s="380"/>
      <c r="BG147" s="354"/>
      <c r="BH147" s="357"/>
      <c r="BI147" s="380"/>
      <c r="BJ147" s="357"/>
      <c r="BK147" s="354"/>
      <c r="BL147" s="354"/>
      <c r="BM147" s="354"/>
      <c r="BN147" s="354"/>
      <c r="BO147" s="354"/>
      <c r="BP147" s="354"/>
      <c r="BQ147" s="369"/>
      <c r="BR147" s="380"/>
      <c r="BS147" s="354"/>
      <c r="BT147" s="354"/>
      <c r="BU147" s="354"/>
      <c r="BV147" s="357"/>
      <c r="BW147" s="355"/>
      <c r="BX147" s="357"/>
      <c r="BY147" s="387"/>
      <c r="BZ147" s="354"/>
      <c r="CA147" s="354"/>
      <c r="CB147" s="354"/>
      <c r="CC147" s="354"/>
      <c r="CD147" s="393"/>
      <c r="CE147" s="393"/>
      <c r="CF147" s="393"/>
      <c r="CG147" s="393"/>
      <c r="CH147" s="393"/>
      <c r="CI147" s="393"/>
      <c r="CJ147" s="393"/>
      <c r="CK147" s="393"/>
      <c r="CL147" s="393"/>
      <c r="CM147" s="393"/>
      <c r="CN147" s="393"/>
      <c r="CO147" s="393"/>
      <c r="CP147" s="393"/>
      <c r="CQ147" s="393"/>
      <c r="CR147" s="393"/>
      <c r="CS147" s="393"/>
      <c r="CT147" s="393"/>
      <c r="CU147" s="393"/>
      <c r="CV147" s="393"/>
      <c r="CW147" s="393"/>
      <c r="CX147" s="393"/>
      <c r="CY147" s="393"/>
      <c r="CZ147" s="393"/>
      <c r="DA147" s="393"/>
      <c r="DB147" s="393"/>
      <c r="DC147" s="393"/>
      <c r="DD147" s="393"/>
      <c r="DE147" s="393"/>
      <c r="DF147" s="393"/>
      <c r="DG147" s="393"/>
      <c r="DH147" s="393"/>
      <c r="DI147" s="393"/>
      <c r="DJ147" s="393"/>
      <c r="DK147" s="393"/>
      <c r="DL147" s="393"/>
      <c r="DM147" s="393"/>
      <c r="DN147" s="393"/>
      <c r="DO147" s="393"/>
      <c r="DP147" s="393"/>
      <c r="DQ147" s="393"/>
      <c r="DR147" s="393"/>
      <c r="DS147" s="393"/>
      <c r="DT147" s="393"/>
      <c r="DU147" s="393"/>
      <c r="DV147" s="354"/>
      <c r="DW147" s="354"/>
      <c r="DX147" s="359"/>
      <c r="DY147" s="359"/>
      <c r="DZ147" s="358"/>
      <c r="EA147" s="358"/>
      <c r="EB147" s="357"/>
      <c r="EC147" s="354"/>
      <c r="ED147" s="357"/>
      <c r="EE147" s="359"/>
      <c r="EF147" s="357"/>
      <c r="EG147" s="357"/>
      <c r="EH147" s="354"/>
      <c r="EI147" s="357"/>
      <c r="EJ147" s="357"/>
      <c r="EK147" s="357"/>
      <c r="EL147" s="357"/>
      <c r="EM147" s="357"/>
      <c r="EN147" s="357"/>
      <c r="EO147" s="354"/>
      <c r="EP147" s="357"/>
      <c r="EQ147" s="357"/>
      <c r="ER147" s="357"/>
      <c r="ES147" s="357"/>
      <c r="ET147" s="357"/>
      <c r="EU147" s="367"/>
      <c r="EV147" s="358"/>
      <c r="EW147" s="362"/>
      <c r="EX147" s="362"/>
      <c r="EY147" s="387"/>
      <c r="EZ147" s="387"/>
      <c r="FA147" s="387"/>
      <c r="FB147" s="362"/>
      <c r="FC147" s="358"/>
      <c r="FD147" s="359"/>
      <c r="FE147" s="359"/>
      <c r="FF147" s="354"/>
      <c r="FG147" s="357"/>
      <c r="FH147" s="359"/>
      <c r="FI147" s="359"/>
      <c r="FJ147" s="359"/>
      <c r="FK147" s="357"/>
      <c r="FL147" s="357"/>
      <c r="FM147" s="357"/>
      <c r="FN147" s="354"/>
      <c r="FO147" s="354"/>
      <c r="FP147" s="357"/>
      <c r="FQ147" s="355"/>
      <c r="FR147" s="355"/>
      <c r="FS147" s="355"/>
      <c r="FT147" s="367"/>
      <c r="FU147" s="355"/>
      <c r="FV147" s="358"/>
      <c r="FW147" s="355"/>
      <c r="FX147" s="362"/>
      <c r="FY147" s="355"/>
      <c r="FZ147" s="355"/>
      <c r="GA147" s="358"/>
      <c r="GB147" s="355"/>
      <c r="GC147" s="357"/>
      <c r="GD147" s="357"/>
      <c r="GE147" s="355"/>
      <c r="GF147" s="360"/>
      <c r="GG147" s="360"/>
      <c r="GH147" s="380"/>
      <c r="GI147" s="356"/>
      <c r="GJ147" s="355"/>
      <c r="GK147" s="390"/>
      <c r="GL147" s="390"/>
      <c r="GM147" s="357"/>
      <c r="GN147" s="357"/>
      <c r="GO147" s="359"/>
      <c r="GP147" s="357"/>
      <c r="GQ147" s="359"/>
      <c r="GR147" s="358"/>
    </row>
    <row r="148" spans="1:200" ht="13.5" customHeight="1" x14ac:dyDescent="0.2">
      <c r="A148" s="358"/>
      <c r="B148" s="359"/>
      <c r="C148" s="359"/>
      <c r="D148" s="357"/>
      <c r="E148" s="357"/>
      <c r="F148" s="359"/>
      <c r="G148" s="367"/>
      <c r="H148" s="367"/>
      <c r="I148" s="357"/>
      <c r="J148" s="357"/>
      <c r="K148" s="357"/>
      <c r="L148" s="357"/>
      <c r="M148" s="367"/>
      <c r="N148" s="363"/>
      <c r="O148" s="363"/>
      <c r="P148" s="363"/>
      <c r="Q148" s="355"/>
      <c r="R148" s="355"/>
      <c r="S148" s="367"/>
      <c r="T148" s="357"/>
      <c r="U148" s="354"/>
      <c r="V148" s="354"/>
      <c r="W148" s="380"/>
      <c r="X148" s="367"/>
      <c r="Y148" s="354"/>
      <c r="Z148" s="380"/>
      <c r="AA148" s="381"/>
      <c r="AB148" s="380"/>
      <c r="AC148" s="380"/>
      <c r="AD148" s="354"/>
      <c r="AE148" s="354"/>
      <c r="AF148" s="380"/>
      <c r="AG148" s="357"/>
      <c r="AH148" s="367"/>
      <c r="AI148" s="354"/>
      <c r="AJ148" s="354"/>
      <c r="AK148" s="354"/>
      <c r="AL148" s="354"/>
      <c r="AM148" s="354"/>
      <c r="AN148" s="357"/>
      <c r="AO148" s="354"/>
      <c r="AP148" s="357"/>
      <c r="AQ148" s="354"/>
      <c r="AR148" s="354"/>
      <c r="AS148" s="354"/>
      <c r="AT148" s="380"/>
      <c r="AU148" s="354"/>
      <c r="AV148" s="354"/>
      <c r="AW148" s="354"/>
      <c r="AX148" s="354"/>
      <c r="AY148" s="354"/>
      <c r="AZ148" s="354"/>
      <c r="BA148" s="380"/>
      <c r="BB148" s="354"/>
      <c r="BC148" s="354"/>
      <c r="BD148" s="354"/>
      <c r="BE148" s="380"/>
      <c r="BF148" s="380"/>
      <c r="BG148" s="357"/>
      <c r="BH148" s="357"/>
      <c r="BI148" s="380"/>
      <c r="BJ148" s="354"/>
      <c r="BK148" s="357"/>
      <c r="BL148" s="354"/>
      <c r="BM148" s="354"/>
      <c r="BN148" s="354"/>
      <c r="BO148" s="354"/>
      <c r="BP148" s="354"/>
      <c r="BQ148" s="369"/>
      <c r="BR148" s="381"/>
      <c r="BS148" s="380"/>
      <c r="BT148" s="354"/>
      <c r="BU148" s="354"/>
      <c r="BV148" s="354"/>
      <c r="BW148" s="355"/>
      <c r="BX148" s="357"/>
      <c r="BY148" s="390"/>
      <c r="BZ148" s="354"/>
      <c r="CA148" s="354"/>
      <c r="CB148" s="354"/>
      <c r="CC148" s="354"/>
      <c r="CD148" s="393"/>
      <c r="CE148" s="393"/>
      <c r="CF148" s="393"/>
      <c r="CG148" s="393"/>
      <c r="CH148" s="393"/>
      <c r="CI148" s="393"/>
      <c r="CJ148" s="393"/>
      <c r="CK148" s="393"/>
      <c r="CL148" s="393"/>
      <c r="CM148" s="393"/>
      <c r="CN148" s="393"/>
      <c r="CO148" s="393"/>
      <c r="CP148" s="393"/>
      <c r="CQ148" s="393"/>
      <c r="CR148" s="393"/>
      <c r="CS148" s="393"/>
      <c r="CT148" s="393"/>
      <c r="CU148" s="393"/>
      <c r="CV148" s="393"/>
      <c r="CW148" s="393"/>
      <c r="CX148" s="393"/>
      <c r="CY148" s="393"/>
      <c r="CZ148" s="393"/>
      <c r="DA148" s="393"/>
      <c r="DB148" s="393"/>
      <c r="DC148" s="393"/>
      <c r="DD148" s="393"/>
      <c r="DE148" s="393"/>
      <c r="DF148" s="393"/>
      <c r="DG148" s="393"/>
      <c r="DH148" s="393"/>
      <c r="DI148" s="393"/>
      <c r="DJ148" s="393"/>
      <c r="DK148" s="393"/>
      <c r="DL148" s="393"/>
      <c r="DM148" s="393"/>
      <c r="DN148" s="393"/>
      <c r="DO148" s="393"/>
      <c r="DP148" s="393"/>
      <c r="DQ148" s="393"/>
      <c r="DR148" s="393"/>
      <c r="DS148" s="393"/>
      <c r="DT148" s="393"/>
      <c r="DU148" s="393"/>
      <c r="DV148" s="354"/>
      <c r="DW148" s="354"/>
      <c r="DX148" s="359"/>
      <c r="DY148" s="358"/>
      <c r="DZ148" s="359"/>
      <c r="EA148" s="358"/>
      <c r="EB148" s="359"/>
      <c r="EC148" s="359"/>
      <c r="ED148" s="390"/>
      <c r="EE148" s="357"/>
      <c r="EF148" s="357"/>
      <c r="EG148" s="357"/>
      <c r="EH148" s="357"/>
      <c r="EI148" s="357"/>
      <c r="EJ148" s="357"/>
      <c r="EK148" s="357"/>
      <c r="EL148" s="357"/>
      <c r="EM148" s="357"/>
      <c r="EN148" s="359"/>
      <c r="EO148" s="359"/>
      <c r="EP148" s="358"/>
      <c r="EQ148" s="362"/>
      <c r="ER148" s="359"/>
      <c r="ES148" s="387"/>
      <c r="ET148" s="357"/>
      <c r="EU148" s="359"/>
      <c r="EV148" s="362"/>
      <c r="EW148" s="362"/>
      <c r="EX148" s="387"/>
      <c r="EY148" s="387"/>
      <c r="EZ148" s="387"/>
      <c r="FA148" s="362"/>
      <c r="FB148" s="359"/>
      <c r="FC148" s="359"/>
      <c r="FD148" s="359"/>
      <c r="FE148" s="359"/>
      <c r="FF148" s="354"/>
      <c r="FG148" s="357"/>
      <c r="FH148" s="355"/>
      <c r="FI148" s="360"/>
      <c r="FJ148" s="360"/>
      <c r="FK148" s="360"/>
      <c r="FL148" s="360"/>
      <c r="FM148" s="355"/>
      <c r="FN148" s="355"/>
      <c r="FO148" s="360"/>
      <c r="FP148" s="357"/>
      <c r="FQ148" s="361"/>
      <c r="FR148" s="361"/>
      <c r="FS148" s="361"/>
      <c r="FT148" s="357"/>
      <c r="FU148" s="357"/>
      <c r="FV148" s="357"/>
      <c r="FW148" s="361"/>
      <c r="FX148" s="361"/>
      <c r="FY148" s="361"/>
      <c r="FZ148" s="361"/>
      <c r="GA148" s="361"/>
      <c r="GB148" s="355"/>
      <c r="GC148" s="357"/>
      <c r="GD148" s="367"/>
      <c r="GE148" s="387"/>
      <c r="GF148" s="357"/>
      <c r="GG148" s="357"/>
      <c r="GH148" s="367"/>
      <c r="GI148" s="390"/>
      <c r="GJ148" s="390"/>
      <c r="GK148" s="358"/>
      <c r="GL148" s="390"/>
      <c r="GM148" s="354"/>
      <c r="GN148" s="357"/>
      <c r="GO148" s="357"/>
      <c r="GP148" s="357"/>
      <c r="GQ148" s="359"/>
      <c r="GR148" s="358"/>
    </row>
    <row r="149" spans="1:200" ht="13.5" customHeight="1" x14ac:dyDescent="0.2">
      <c r="A149" s="359"/>
      <c r="B149" s="390"/>
      <c r="C149" s="390"/>
      <c r="D149" s="359"/>
      <c r="E149" s="357"/>
      <c r="F149" s="357"/>
      <c r="G149" s="354"/>
      <c r="H149" s="358"/>
      <c r="I149" s="362"/>
      <c r="J149" s="358"/>
      <c r="K149" s="390"/>
      <c r="L149" s="357"/>
      <c r="M149" s="367"/>
      <c r="N149" s="357"/>
      <c r="O149" s="380"/>
      <c r="P149" s="363"/>
      <c r="Q149" s="354"/>
      <c r="R149" s="357"/>
      <c r="S149" s="367"/>
      <c r="T149" s="354"/>
      <c r="U149" s="354"/>
      <c r="V149" s="363"/>
      <c r="W149" s="380"/>
      <c r="X149" s="357"/>
      <c r="Y149" s="354"/>
      <c r="Z149" s="354"/>
      <c r="AA149" s="380"/>
      <c r="AB149" s="380"/>
      <c r="AC149" s="380"/>
      <c r="AD149" s="380"/>
      <c r="AE149" s="354"/>
      <c r="AF149" s="354"/>
      <c r="AG149" s="357"/>
      <c r="AH149" s="380"/>
      <c r="AI149" s="357"/>
      <c r="AJ149" s="357"/>
      <c r="AK149" s="357"/>
      <c r="AL149" s="357"/>
      <c r="AM149" s="354"/>
      <c r="AN149" s="354"/>
      <c r="AO149" s="357"/>
      <c r="AP149" s="357"/>
      <c r="AQ149" s="357"/>
      <c r="AR149" s="354"/>
      <c r="AS149" s="354"/>
      <c r="AT149" s="354"/>
      <c r="AU149" s="354"/>
      <c r="AV149" s="354"/>
      <c r="AW149" s="357"/>
      <c r="AX149" s="354"/>
      <c r="AY149" s="354"/>
      <c r="AZ149" s="380"/>
      <c r="BA149" s="354"/>
      <c r="BB149" s="354"/>
      <c r="BC149" s="357"/>
      <c r="BD149" s="354"/>
      <c r="BE149" s="380"/>
      <c r="BF149" s="380"/>
      <c r="BG149" s="357"/>
      <c r="BH149" s="380"/>
      <c r="BI149" s="380"/>
      <c r="BJ149" s="354"/>
      <c r="BK149" s="354"/>
      <c r="BL149" s="354"/>
      <c r="BM149" s="354"/>
      <c r="BN149" s="354"/>
      <c r="BO149" s="354"/>
      <c r="BP149" s="354"/>
      <c r="BQ149" s="381"/>
      <c r="BR149" s="381"/>
      <c r="BS149" s="381"/>
      <c r="BT149" s="380"/>
      <c r="BU149" s="354"/>
      <c r="BV149" s="354"/>
      <c r="BW149" s="357"/>
      <c r="BX149" s="387"/>
      <c r="BY149" s="387"/>
      <c r="BZ149" s="354"/>
      <c r="CA149" s="354"/>
      <c r="CB149" s="354"/>
      <c r="CC149" s="354"/>
      <c r="CD149" s="393"/>
      <c r="CE149" s="393"/>
      <c r="CF149" s="393"/>
      <c r="CG149" s="393"/>
      <c r="CH149" s="393"/>
      <c r="CI149" s="393"/>
      <c r="CJ149" s="393"/>
      <c r="CK149" s="393"/>
      <c r="CL149" s="393"/>
      <c r="CM149" s="393"/>
      <c r="CN149" s="393"/>
      <c r="CO149" s="393"/>
      <c r="CP149" s="393"/>
      <c r="CQ149" s="393"/>
      <c r="CR149" s="393"/>
      <c r="CS149" s="393"/>
      <c r="CT149" s="393"/>
      <c r="CU149" s="393"/>
      <c r="CV149" s="393"/>
      <c r="CW149" s="393"/>
      <c r="CX149" s="393"/>
      <c r="CY149" s="393"/>
      <c r="CZ149" s="393"/>
      <c r="DA149" s="393"/>
      <c r="DB149" s="393"/>
      <c r="DC149" s="393"/>
      <c r="DD149" s="393"/>
      <c r="DE149" s="393"/>
      <c r="DF149" s="393"/>
      <c r="DG149" s="393"/>
      <c r="DH149" s="393"/>
      <c r="DI149" s="393"/>
      <c r="DJ149" s="393"/>
      <c r="DK149" s="393"/>
      <c r="DL149" s="393"/>
      <c r="DM149" s="393"/>
      <c r="DN149" s="393"/>
      <c r="DO149" s="393"/>
      <c r="DP149" s="393"/>
      <c r="DQ149" s="393"/>
      <c r="DR149" s="393"/>
      <c r="DS149" s="393"/>
      <c r="DT149" s="393"/>
      <c r="DU149" s="393"/>
      <c r="DV149" s="354"/>
      <c r="DW149" s="357"/>
      <c r="DX149" s="359"/>
      <c r="DY149" s="358"/>
      <c r="DZ149" s="359"/>
      <c r="EA149" s="358"/>
      <c r="EB149" s="359"/>
      <c r="EC149" s="357"/>
      <c r="ED149" s="390"/>
      <c r="EE149" s="390"/>
      <c r="EF149" s="357"/>
      <c r="EG149" s="357"/>
      <c r="EH149" s="357"/>
      <c r="EI149" s="357"/>
      <c r="EJ149" s="357"/>
      <c r="EK149" s="357"/>
      <c r="EL149" s="357"/>
      <c r="EM149" s="354"/>
      <c r="EN149" s="355"/>
      <c r="EO149" s="362"/>
      <c r="EP149" s="358"/>
      <c r="EQ149" s="362"/>
      <c r="ER149" s="359"/>
      <c r="ES149" s="358"/>
      <c r="ET149" s="357"/>
      <c r="EU149" s="359"/>
      <c r="EV149" s="362"/>
      <c r="EW149" s="362"/>
      <c r="EX149" s="387"/>
      <c r="EY149" s="367"/>
      <c r="EZ149" s="387"/>
      <c r="FA149" s="358"/>
      <c r="FB149" s="359"/>
      <c r="FC149" s="359"/>
      <c r="FD149" s="387"/>
      <c r="FE149" s="359"/>
      <c r="FF149" s="357"/>
      <c r="FG149" s="357"/>
      <c r="FH149" s="357"/>
      <c r="FI149" s="360"/>
      <c r="FJ149" s="363"/>
      <c r="FK149" s="363"/>
      <c r="FL149" s="363"/>
      <c r="FM149" s="363"/>
      <c r="FN149" s="360"/>
      <c r="FO149" s="360"/>
      <c r="FP149" s="357"/>
      <c r="FQ149" s="355"/>
      <c r="FR149" s="355"/>
      <c r="FS149" s="359"/>
      <c r="FT149" s="357"/>
      <c r="FU149" s="357"/>
      <c r="FV149" s="357"/>
      <c r="FW149" s="355"/>
      <c r="FX149" s="355"/>
      <c r="FY149" s="355"/>
      <c r="FZ149" s="367"/>
      <c r="GA149" s="390"/>
      <c r="GB149" s="367"/>
      <c r="GC149" s="387"/>
      <c r="GD149" s="387"/>
      <c r="GE149" s="357"/>
      <c r="GF149" s="357"/>
      <c r="GG149" s="367"/>
      <c r="GH149" s="367"/>
      <c r="GI149" s="390"/>
      <c r="GJ149" s="390"/>
      <c r="GK149" s="390"/>
      <c r="GL149" s="358"/>
      <c r="GM149" s="354"/>
      <c r="GN149" s="359"/>
      <c r="GO149" s="359"/>
      <c r="GP149" s="357"/>
      <c r="GQ149" s="359"/>
      <c r="GR149" s="357"/>
    </row>
    <row r="150" spans="1:200" ht="13.5" customHeight="1" x14ac:dyDescent="0.2">
      <c r="A150" s="357"/>
      <c r="B150" s="357"/>
      <c r="C150" s="357"/>
      <c r="D150" s="354"/>
      <c r="E150" s="354"/>
      <c r="F150" s="357"/>
      <c r="G150" s="357"/>
      <c r="H150" s="354"/>
      <c r="I150" s="355"/>
      <c r="J150" s="357"/>
      <c r="K150" s="357"/>
      <c r="L150" s="367"/>
      <c r="M150" s="357"/>
      <c r="N150" s="367"/>
      <c r="O150" s="367"/>
      <c r="P150" s="363"/>
      <c r="Q150" s="367"/>
      <c r="R150" s="355"/>
      <c r="S150" s="356"/>
      <c r="T150" s="357"/>
      <c r="U150" s="390"/>
      <c r="V150" s="380"/>
      <c r="W150" s="380"/>
      <c r="X150" s="367"/>
      <c r="Y150" s="354"/>
      <c r="Z150" s="354"/>
      <c r="AA150" s="380"/>
      <c r="AB150" s="380"/>
      <c r="AC150" s="381"/>
      <c r="AD150" s="381"/>
      <c r="AE150" s="381"/>
      <c r="AF150" s="354"/>
      <c r="AG150" s="354"/>
      <c r="AH150" s="354"/>
      <c r="AI150" s="357"/>
      <c r="AJ150" s="380"/>
      <c r="AK150" s="354"/>
      <c r="AL150" s="354"/>
      <c r="AM150" s="357"/>
      <c r="AN150" s="357"/>
      <c r="AO150" s="357"/>
      <c r="AP150" s="354"/>
      <c r="AQ150" s="357"/>
      <c r="AR150" s="357"/>
      <c r="AS150" s="354"/>
      <c r="AT150" s="354"/>
      <c r="AU150" s="354"/>
      <c r="AV150" s="354"/>
      <c r="AW150" s="354"/>
      <c r="AX150" s="381"/>
      <c r="AY150" s="380"/>
      <c r="AZ150" s="354"/>
      <c r="BA150" s="354"/>
      <c r="BB150" s="357"/>
      <c r="BC150" s="357"/>
      <c r="BD150" s="357"/>
      <c r="BE150" s="380"/>
      <c r="BF150" s="380"/>
      <c r="BG150" s="354"/>
      <c r="BH150" s="367"/>
      <c r="BI150" s="380"/>
      <c r="BJ150" s="380"/>
      <c r="BK150" s="354"/>
      <c r="BL150" s="381"/>
      <c r="BM150" s="381"/>
      <c r="BN150" s="354"/>
      <c r="BO150" s="354"/>
      <c r="BP150" s="369"/>
      <c r="BQ150" s="381"/>
      <c r="BR150" s="381"/>
      <c r="BS150" s="381"/>
      <c r="BT150" s="381"/>
      <c r="BU150" s="381"/>
      <c r="BV150" s="354"/>
      <c r="BW150" s="354"/>
      <c r="BX150" s="387"/>
      <c r="BY150" s="387"/>
      <c r="BZ150" s="354"/>
      <c r="CA150" s="354"/>
      <c r="CB150" s="354"/>
      <c r="CC150" s="354"/>
      <c r="CD150" s="393"/>
      <c r="CE150" s="393"/>
      <c r="CF150" s="393"/>
      <c r="CG150" s="393"/>
      <c r="CH150" s="393"/>
      <c r="CI150" s="393"/>
      <c r="CJ150" s="393"/>
      <c r="CK150" s="393"/>
      <c r="CL150" s="393"/>
      <c r="CM150" s="393"/>
      <c r="CN150" s="393"/>
      <c r="CO150" s="393"/>
      <c r="CP150" s="393"/>
      <c r="CQ150" s="393"/>
      <c r="CR150" s="395"/>
      <c r="CS150" s="393"/>
      <c r="CT150" s="393"/>
      <c r="CU150" s="393"/>
      <c r="CV150" s="393"/>
      <c r="CW150" s="393"/>
      <c r="CX150" s="393"/>
      <c r="CY150" s="393"/>
      <c r="CZ150" s="393"/>
      <c r="DA150" s="393"/>
      <c r="DB150" s="393"/>
      <c r="DC150" s="393"/>
      <c r="DD150" s="393"/>
      <c r="DE150" s="393"/>
      <c r="DF150" s="393"/>
      <c r="DG150" s="393"/>
      <c r="DH150" s="393"/>
      <c r="DI150" s="393"/>
      <c r="DJ150" s="393"/>
      <c r="DK150" s="393"/>
      <c r="DL150" s="393"/>
      <c r="DM150" s="393"/>
      <c r="DN150" s="393"/>
      <c r="DO150" s="393"/>
      <c r="DP150" s="393"/>
      <c r="DQ150" s="393"/>
      <c r="DR150" s="393"/>
      <c r="DS150" s="393"/>
      <c r="DT150" s="393"/>
      <c r="DU150" s="393"/>
      <c r="DV150" s="354"/>
      <c r="DW150" s="357"/>
      <c r="DX150" s="357"/>
      <c r="DY150" s="359"/>
      <c r="DZ150" s="359"/>
      <c r="EA150" s="359"/>
      <c r="EB150" s="357"/>
      <c r="EC150" s="357"/>
      <c r="ED150" s="357"/>
      <c r="EE150" s="357"/>
      <c r="EF150" s="357"/>
      <c r="EG150" s="357"/>
      <c r="EH150" s="357"/>
      <c r="EI150" s="357"/>
      <c r="EJ150" s="357"/>
      <c r="EK150" s="357"/>
      <c r="EL150" s="354"/>
      <c r="EM150" s="390"/>
      <c r="EN150" s="354"/>
      <c r="EO150" s="359"/>
      <c r="EP150" s="358"/>
      <c r="EQ150" s="358"/>
      <c r="ER150" s="359"/>
      <c r="ES150" s="359"/>
      <c r="ET150" s="359"/>
      <c r="EU150" s="359"/>
      <c r="EV150" s="362"/>
      <c r="EW150" s="361"/>
      <c r="EX150" s="387"/>
      <c r="EY150" s="387"/>
      <c r="EZ150" s="362"/>
      <c r="FA150" s="359"/>
      <c r="FB150" s="359"/>
      <c r="FC150" s="387"/>
      <c r="FD150" s="362"/>
      <c r="FE150" s="362"/>
      <c r="FF150" s="387"/>
      <c r="FG150" s="358"/>
      <c r="FH150" s="354"/>
      <c r="FI150" s="357"/>
      <c r="FJ150" s="390"/>
      <c r="FK150" s="363"/>
      <c r="FL150" s="363"/>
      <c r="FM150" s="363"/>
      <c r="FN150" s="360"/>
      <c r="FO150" s="360"/>
      <c r="FP150" s="354"/>
      <c r="FQ150" s="359"/>
      <c r="FR150" s="358"/>
      <c r="FS150" s="359"/>
      <c r="FT150" s="354"/>
      <c r="FU150" s="354"/>
      <c r="FV150" s="354"/>
      <c r="FW150" s="362"/>
      <c r="FX150" s="355"/>
      <c r="FY150" s="380"/>
      <c r="FZ150" s="363"/>
      <c r="GA150" s="363"/>
      <c r="GB150" s="367"/>
      <c r="GC150" s="367"/>
      <c r="GD150" s="357"/>
      <c r="GE150" s="390"/>
      <c r="GF150" s="357"/>
      <c r="GG150" s="357"/>
      <c r="GH150" s="356"/>
      <c r="GI150" s="356"/>
      <c r="GJ150" s="356"/>
      <c r="GK150" s="355"/>
      <c r="GL150" s="390"/>
      <c r="GM150" s="390"/>
      <c r="GN150" s="357"/>
      <c r="GO150" s="357"/>
      <c r="GP150" s="357"/>
      <c r="GQ150" s="355"/>
      <c r="GR150" s="361"/>
    </row>
    <row r="151" spans="1:200" ht="13.5" customHeight="1" x14ac:dyDescent="0.2">
      <c r="A151" s="357"/>
      <c r="B151" s="357"/>
      <c r="C151" s="359"/>
      <c r="D151" s="357"/>
      <c r="E151" s="357"/>
      <c r="F151" s="357"/>
      <c r="G151" s="367"/>
      <c r="H151" s="354"/>
      <c r="I151" s="367"/>
      <c r="J151" s="357"/>
      <c r="K151" s="390"/>
      <c r="L151" s="380"/>
      <c r="M151" s="363"/>
      <c r="N151" s="367"/>
      <c r="O151" s="367"/>
      <c r="P151" s="363"/>
      <c r="Q151" s="363"/>
      <c r="R151" s="363"/>
      <c r="S151" s="355"/>
      <c r="T151" s="357"/>
      <c r="U151" s="390"/>
      <c r="V151" s="380"/>
      <c r="W151" s="367"/>
      <c r="X151" s="367"/>
      <c r="Y151" s="390"/>
      <c r="Z151" s="354"/>
      <c r="AA151" s="354"/>
      <c r="AB151" s="380"/>
      <c r="AC151" s="369"/>
      <c r="AD151" s="380"/>
      <c r="AE151" s="381"/>
      <c r="AF151" s="380"/>
      <c r="AG151" s="354"/>
      <c r="AH151" s="354"/>
      <c r="AI151" s="357"/>
      <c r="AJ151" s="354"/>
      <c r="AK151" s="380"/>
      <c r="AL151" s="354"/>
      <c r="AM151" s="354"/>
      <c r="AN151" s="357"/>
      <c r="AO151" s="357"/>
      <c r="AP151" s="354"/>
      <c r="AQ151" s="354"/>
      <c r="AR151" s="354"/>
      <c r="AS151" s="354"/>
      <c r="AT151" s="354"/>
      <c r="AU151" s="354"/>
      <c r="AV151" s="380"/>
      <c r="AW151" s="354"/>
      <c r="AX151" s="381"/>
      <c r="AY151" s="354"/>
      <c r="AZ151" s="354"/>
      <c r="BA151" s="357"/>
      <c r="BB151" s="354"/>
      <c r="BC151" s="354"/>
      <c r="BD151" s="357"/>
      <c r="BE151" s="380"/>
      <c r="BF151" s="380"/>
      <c r="BG151" s="354"/>
      <c r="BH151" s="390"/>
      <c r="BI151" s="354"/>
      <c r="BJ151" s="357"/>
      <c r="BK151" s="354"/>
      <c r="BL151" s="381"/>
      <c r="BM151" s="381"/>
      <c r="BN151" s="354"/>
      <c r="BO151" s="354"/>
      <c r="BP151" s="369"/>
      <c r="BQ151" s="369"/>
      <c r="BR151" s="381"/>
      <c r="BS151" s="356"/>
      <c r="BT151" s="354"/>
      <c r="BU151" s="381"/>
      <c r="BV151" s="381"/>
      <c r="BW151" s="380"/>
      <c r="BX151" s="354"/>
      <c r="BY151" s="355"/>
      <c r="BZ151" s="380"/>
      <c r="CA151" s="354"/>
      <c r="CB151" s="354"/>
      <c r="CC151" s="354"/>
      <c r="CD151" s="393"/>
      <c r="CE151" s="393"/>
      <c r="CF151" s="393"/>
      <c r="CG151" s="393"/>
      <c r="CH151" s="393"/>
      <c r="CI151" s="393"/>
      <c r="CJ151" s="393"/>
      <c r="CK151" s="393"/>
      <c r="CL151" s="393"/>
      <c r="CM151" s="393"/>
      <c r="CN151" s="393"/>
      <c r="CO151" s="393"/>
      <c r="CP151" s="393"/>
      <c r="CQ151" s="393"/>
      <c r="CR151" s="354"/>
      <c r="CS151" s="354"/>
      <c r="CT151" s="393"/>
      <c r="CU151" s="393"/>
      <c r="CV151" s="393"/>
      <c r="CW151" s="393"/>
      <c r="CX151" s="393"/>
      <c r="CY151" s="393"/>
      <c r="CZ151" s="393"/>
      <c r="DA151" s="393"/>
      <c r="DB151" s="393"/>
      <c r="DC151" s="393"/>
      <c r="DD151" s="393"/>
      <c r="DE151" s="393"/>
      <c r="DF151" s="393"/>
      <c r="DG151" s="393"/>
      <c r="DH151" s="393"/>
      <c r="DI151" s="393"/>
      <c r="DJ151" s="393"/>
      <c r="DK151" s="393"/>
      <c r="DL151" s="393"/>
      <c r="DM151" s="393"/>
      <c r="DN151" s="393"/>
      <c r="DO151" s="393"/>
      <c r="DP151" s="393"/>
      <c r="DQ151" s="381"/>
      <c r="DR151" s="393"/>
      <c r="DS151" s="393"/>
      <c r="DT151" s="393"/>
      <c r="DU151" s="393"/>
      <c r="DV151" s="354"/>
      <c r="DW151" s="354"/>
      <c r="DX151" s="357"/>
      <c r="DY151" s="354"/>
      <c r="DZ151" s="354"/>
      <c r="EA151" s="354"/>
      <c r="EB151" s="354"/>
      <c r="EC151" s="354"/>
      <c r="ED151" s="354"/>
      <c r="EE151" s="354"/>
      <c r="EF151" s="354"/>
      <c r="EG151" s="354"/>
      <c r="EH151" s="354"/>
      <c r="EI151" s="354"/>
      <c r="EJ151" s="357"/>
      <c r="EK151" s="354"/>
      <c r="EL151" s="381"/>
      <c r="EM151" s="369"/>
      <c r="EN151" s="354"/>
      <c r="EO151" s="354"/>
      <c r="EP151" s="357"/>
      <c r="EQ151" s="359"/>
      <c r="ER151" s="362"/>
      <c r="ES151" s="355"/>
      <c r="ET151" s="355"/>
      <c r="EU151" s="359"/>
      <c r="EV151" s="362"/>
      <c r="EW151" s="362"/>
      <c r="EX151" s="387"/>
      <c r="EY151" s="387"/>
      <c r="EZ151" s="359"/>
      <c r="FA151" s="354"/>
      <c r="FB151" s="362"/>
      <c r="FC151" s="362"/>
      <c r="FD151" s="362"/>
      <c r="FE151" s="362"/>
      <c r="FF151" s="367"/>
      <c r="FG151" s="387"/>
      <c r="FH151" s="362"/>
      <c r="FI151" s="359"/>
      <c r="FJ151" s="359"/>
      <c r="FK151" s="359"/>
      <c r="FL151" s="390"/>
      <c r="FM151" s="356"/>
      <c r="FN151" s="360"/>
      <c r="FO151" s="356"/>
      <c r="FP151" s="357"/>
      <c r="FQ151" s="358"/>
      <c r="FR151" s="359"/>
      <c r="FS151" s="354"/>
      <c r="FT151" s="354"/>
      <c r="FU151" s="354"/>
      <c r="FV151" s="354"/>
      <c r="FW151" s="358"/>
      <c r="FX151" s="358"/>
      <c r="FY151" s="363"/>
      <c r="FZ151" s="363"/>
      <c r="GA151" s="363"/>
      <c r="GB151" s="367"/>
      <c r="GC151" s="357"/>
      <c r="GD151" s="357"/>
      <c r="GE151" s="357"/>
      <c r="GF151" s="367"/>
      <c r="GG151" s="390"/>
      <c r="GH151" s="380"/>
      <c r="GI151" s="367"/>
      <c r="GJ151" s="369"/>
      <c r="GK151" s="380"/>
      <c r="GL151" s="357"/>
      <c r="GM151" s="367"/>
      <c r="GN151" s="357"/>
      <c r="GO151" s="355"/>
      <c r="GP151" s="355"/>
      <c r="GQ151" s="355"/>
      <c r="GR151" s="357"/>
    </row>
    <row r="152" spans="1:200" ht="13.5" customHeight="1" x14ac:dyDescent="0.2">
      <c r="A152" s="367"/>
      <c r="B152" s="359"/>
      <c r="C152" s="367"/>
      <c r="D152" s="367"/>
      <c r="E152" s="357"/>
      <c r="F152" s="354"/>
      <c r="G152" s="367"/>
      <c r="H152" s="354"/>
      <c r="I152" s="380"/>
      <c r="J152" s="380"/>
      <c r="K152" s="390"/>
      <c r="L152" s="380"/>
      <c r="M152" s="363"/>
      <c r="N152" s="380"/>
      <c r="O152" s="367"/>
      <c r="P152" s="363"/>
      <c r="Q152" s="363"/>
      <c r="R152" s="367"/>
      <c r="S152" s="390"/>
      <c r="T152" s="357"/>
      <c r="U152" s="355"/>
      <c r="V152" s="380"/>
      <c r="W152" s="380"/>
      <c r="X152" s="357"/>
      <c r="Y152" s="354"/>
      <c r="Z152" s="367"/>
      <c r="AA152" s="354"/>
      <c r="AB152" s="354"/>
      <c r="AC152" s="380"/>
      <c r="AD152" s="380"/>
      <c r="AE152" s="380"/>
      <c r="AF152" s="380"/>
      <c r="AG152" s="357"/>
      <c r="AH152" s="354"/>
      <c r="AI152" s="354"/>
      <c r="AJ152" s="354"/>
      <c r="AK152" s="354"/>
      <c r="AL152" s="381"/>
      <c r="AM152" s="354"/>
      <c r="AN152" s="354"/>
      <c r="AO152" s="357"/>
      <c r="AP152" s="354"/>
      <c r="AQ152" s="354"/>
      <c r="AR152" s="380"/>
      <c r="AS152" s="357"/>
      <c r="AT152" s="354"/>
      <c r="AU152" s="354"/>
      <c r="AV152" s="390"/>
      <c r="AW152" s="381"/>
      <c r="AX152" s="380"/>
      <c r="AY152" s="354"/>
      <c r="AZ152" s="354"/>
      <c r="BA152" s="354"/>
      <c r="BB152" s="357"/>
      <c r="BC152" s="357"/>
      <c r="BD152" s="357"/>
      <c r="BE152" s="354"/>
      <c r="BF152" s="380"/>
      <c r="BG152" s="354"/>
      <c r="BH152" s="357"/>
      <c r="BI152" s="354"/>
      <c r="BJ152" s="357"/>
      <c r="BK152" s="354"/>
      <c r="BL152" s="381"/>
      <c r="BM152" s="354"/>
      <c r="BN152" s="354"/>
      <c r="BO152" s="354"/>
      <c r="BP152" s="369"/>
      <c r="BQ152" s="381"/>
      <c r="BR152" s="381"/>
      <c r="BS152" s="354"/>
      <c r="BT152" s="354"/>
      <c r="BU152" s="354"/>
      <c r="BV152" s="354"/>
      <c r="BW152" s="354"/>
      <c r="BX152" s="381"/>
      <c r="BY152" s="381"/>
      <c r="BZ152" s="354"/>
      <c r="CA152" s="354"/>
      <c r="CB152" s="354"/>
      <c r="CC152" s="354"/>
      <c r="CD152" s="393"/>
      <c r="CE152" s="393"/>
      <c r="CF152" s="393"/>
      <c r="CG152" s="393"/>
      <c r="CH152" s="393"/>
      <c r="CI152" s="393"/>
      <c r="CJ152" s="393"/>
      <c r="CK152" s="393"/>
      <c r="CL152" s="393"/>
      <c r="CM152" s="393"/>
      <c r="CN152" s="381"/>
      <c r="CO152" s="395"/>
      <c r="CP152" s="393"/>
      <c r="CQ152" s="381"/>
      <c r="CR152" s="354"/>
      <c r="CS152" s="393"/>
      <c r="CT152" s="393"/>
      <c r="CU152" s="381"/>
      <c r="CV152" s="393"/>
      <c r="CW152" s="393"/>
      <c r="CX152" s="393"/>
      <c r="CY152" s="393"/>
      <c r="CZ152" s="393"/>
      <c r="DA152" s="393"/>
      <c r="DB152" s="393"/>
      <c r="DC152" s="393"/>
      <c r="DD152" s="393"/>
      <c r="DE152" s="393"/>
      <c r="DF152" s="393"/>
      <c r="DG152" s="393"/>
      <c r="DH152" s="393"/>
      <c r="DI152" s="393"/>
      <c r="DJ152" s="393"/>
      <c r="DK152" s="393"/>
      <c r="DL152" s="393"/>
      <c r="DM152" s="393"/>
      <c r="DN152" s="393"/>
      <c r="DO152" s="393"/>
      <c r="DP152" s="381"/>
      <c r="DQ152" s="354"/>
      <c r="DR152" s="381"/>
      <c r="DS152" s="393"/>
      <c r="DT152" s="393"/>
      <c r="DU152" s="393"/>
      <c r="DV152" s="354"/>
      <c r="DW152" s="354"/>
      <c r="DX152" s="367"/>
      <c r="DY152" s="390"/>
      <c r="DZ152" s="380"/>
      <c r="EA152" s="355"/>
      <c r="EB152" s="369"/>
      <c r="EC152" s="380"/>
      <c r="ED152" s="381"/>
      <c r="EE152" s="390"/>
      <c r="EF152" s="355"/>
      <c r="EG152" s="390"/>
      <c r="EH152" s="369"/>
      <c r="EI152" s="356"/>
      <c r="EJ152" s="381"/>
      <c r="EK152" s="355"/>
      <c r="EL152" s="369"/>
      <c r="EM152" s="354"/>
      <c r="EN152" s="354"/>
      <c r="EO152" s="354"/>
      <c r="EP152" s="354"/>
      <c r="EQ152" s="359"/>
      <c r="ER152" s="362"/>
      <c r="ES152" s="362"/>
      <c r="ET152" s="359"/>
      <c r="EU152" s="355"/>
      <c r="EV152" s="355"/>
      <c r="EW152" s="387"/>
      <c r="EX152" s="387"/>
      <c r="EY152" s="354"/>
      <c r="EZ152" s="354"/>
      <c r="FA152" s="354"/>
      <c r="FB152" s="362"/>
      <c r="FC152" s="362"/>
      <c r="FD152" s="362"/>
      <c r="FE152" s="362"/>
      <c r="FF152" s="387"/>
      <c r="FG152" s="362"/>
      <c r="FH152" s="359"/>
      <c r="FI152" s="359"/>
      <c r="FJ152" s="359"/>
      <c r="FK152" s="359"/>
      <c r="FL152" s="354"/>
      <c r="FM152" s="354"/>
      <c r="FN152" s="354"/>
      <c r="FO152" s="357"/>
      <c r="FP152" s="354"/>
      <c r="FQ152" s="354"/>
      <c r="FR152" s="354"/>
      <c r="FS152" s="354"/>
      <c r="FT152" s="354"/>
      <c r="FU152" s="354"/>
      <c r="FV152" s="357"/>
      <c r="FW152" s="359"/>
      <c r="FX152" s="357"/>
      <c r="FY152" s="357"/>
      <c r="FZ152" s="363"/>
      <c r="GA152" s="363"/>
      <c r="GB152" s="357"/>
      <c r="GC152" s="357"/>
      <c r="GD152" s="357"/>
      <c r="GE152" s="357"/>
      <c r="GF152" s="357"/>
      <c r="GG152" s="390"/>
      <c r="GH152" s="354"/>
      <c r="GI152" s="354"/>
      <c r="GJ152" s="357"/>
      <c r="GK152" s="354"/>
      <c r="GL152" s="357"/>
      <c r="GM152" s="357"/>
      <c r="GN152" s="367"/>
      <c r="GO152" s="390"/>
      <c r="GP152" s="367"/>
      <c r="GQ152" s="380"/>
      <c r="GR152" s="357"/>
    </row>
    <row r="153" spans="1:200" ht="13.5" customHeight="1" x14ac:dyDescent="0.2">
      <c r="A153" s="390"/>
      <c r="B153" s="390"/>
      <c r="C153" s="367"/>
      <c r="D153" s="367"/>
      <c r="E153" s="380"/>
      <c r="F153" s="380"/>
      <c r="G153" s="367"/>
      <c r="H153" s="357"/>
      <c r="I153" s="357"/>
      <c r="J153" s="367"/>
      <c r="K153" s="367"/>
      <c r="L153" s="363"/>
      <c r="M153" s="357"/>
      <c r="N153" s="367"/>
      <c r="O153" s="367"/>
      <c r="P153" s="369"/>
      <c r="Q153" s="363"/>
      <c r="R153" s="363"/>
      <c r="S153" s="363"/>
      <c r="T153" s="380"/>
      <c r="U153" s="357"/>
      <c r="V153" s="357"/>
      <c r="W153" s="367"/>
      <c r="X153" s="367"/>
      <c r="Y153" s="367"/>
      <c r="Z153" s="367"/>
      <c r="AA153" s="367"/>
      <c r="AB153" s="354"/>
      <c r="AC153" s="354"/>
      <c r="AD153" s="357"/>
      <c r="AE153" s="380"/>
      <c r="AF153" s="380"/>
      <c r="AG153" s="380"/>
      <c r="AH153" s="357"/>
      <c r="AI153" s="354"/>
      <c r="AJ153" s="354"/>
      <c r="AK153" s="354"/>
      <c r="AL153" s="354"/>
      <c r="AM153" s="381"/>
      <c r="AN153" s="354"/>
      <c r="AO153" s="354"/>
      <c r="AP153" s="380"/>
      <c r="AQ153" s="357"/>
      <c r="AR153" s="357"/>
      <c r="AS153" s="357"/>
      <c r="AT153" s="354"/>
      <c r="AU153" s="390"/>
      <c r="AV153" s="381"/>
      <c r="AW153" s="381"/>
      <c r="AX153" s="354"/>
      <c r="AY153" s="354"/>
      <c r="AZ153" s="354"/>
      <c r="BA153" s="357"/>
      <c r="BB153" s="357"/>
      <c r="BC153" s="354"/>
      <c r="BD153" s="354"/>
      <c r="BE153" s="357"/>
      <c r="BF153" s="380"/>
      <c r="BG153" s="354"/>
      <c r="BH153" s="357"/>
      <c r="BI153" s="380"/>
      <c r="BJ153" s="357"/>
      <c r="BK153" s="357"/>
      <c r="BL153" s="380"/>
      <c r="BM153" s="354"/>
      <c r="BN153" s="354"/>
      <c r="BO153" s="354"/>
      <c r="BP153" s="380"/>
      <c r="BQ153" s="381"/>
      <c r="BR153" s="354"/>
      <c r="BS153" s="354"/>
      <c r="BT153" s="357"/>
      <c r="BU153" s="354"/>
      <c r="BV153" s="354"/>
      <c r="BW153" s="354"/>
      <c r="BX153" s="354"/>
      <c r="BY153" s="354"/>
      <c r="BZ153" s="381"/>
      <c r="CA153" s="381"/>
      <c r="CB153" s="354"/>
      <c r="CC153" s="354"/>
      <c r="CD153" s="393"/>
      <c r="CE153" s="393"/>
      <c r="CF153" s="393"/>
      <c r="CG153" s="393"/>
      <c r="CH153" s="393"/>
      <c r="CI153" s="393"/>
      <c r="CJ153" s="393"/>
      <c r="CK153" s="354"/>
      <c r="CL153" s="354"/>
      <c r="CM153" s="354"/>
      <c r="CN153" s="381"/>
      <c r="CO153" s="393"/>
      <c r="CP153" s="381"/>
      <c r="CQ153" s="354"/>
      <c r="CR153" s="393"/>
      <c r="CS153" s="393"/>
      <c r="CT153" s="381"/>
      <c r="CU153" s="354"/>
      <c r="CV153" s="393"/>
      <c r="CW153" s="393"/>
      <c r="CX153" s="393"/>
      <c r="CY153" s="393"/>
      <c r="CZ153" s="395"/>
      <c r="DA153" s="393"/>
      <c r="DB153" s="393"/>
      <c r="DC153" s="393"/>
      <c r="DD153" s="393"/>
      <c r="DE153" s="393"/>
      <c r="DF153" s="393"/>
      <c r="DG153" s="393"/>
      <c r="DH153" s="393"/>
      <c r="DI153" s="393"/>
      <c r="DJ153" s="393"/>
      <c r="DK153" s="393"/>
      <c r="DL153" s="393"/>
      <c r="DM153" s="393"/>
      <c r="DN153" s="393"/>
      <c r="DO153" s="393"/>
      <c r="DP153" s="354"/>
      <c r="DQ153" s="354"/>
      <c r="DR153" s="354"/>
      <c r="DS153" s="354"/>
      <c r="DT153" s="381"/>
      <c r="DU153" s="354"/>
      <c r="DV153" s="354"/>
      <c r="DW153" s="354"/>
      <c r="DX153" s="390"/>
      <c r="DY153" s="357"/>
      <c r="DZ153" s="356"/>
      <c r="EA153" s="355"/>
      <c r="EB153" s="390"/>
      <c r="EC153" s="355"/>
      <c r="ED153" s="355"/>
      <c r="EE153" s="359"/>
      <c r="EF153" s="356"/>
      <c r="EG153" s="355"/>
      <c r="EH153" s="355"/>
      <c r="EI153" s="369"/>
      <c r="EJ153" s="369"/>
      <c r="EK153" s="356"/>
      <c r="EL153" s="369"/>
      <c r="EM153" s="354"/>
      <c r="EN153" s="369"/>
      <c r="EO153" s="369"/>
      <c r="EP153" s="381"/>
      <c r="EQ153" s="354"/>
      <c r="ER153" s="357"/>
      <c r="ES153" s="358"/>
      <c r="ET153" s="358"/>
      <c r="EU153" s="355"/>
      <c r="EV153" s="355"/>
      <c r="EW153" s="354"/>
      <c r="EX153" s="354"/>
      <c r="EY153" s="354"/>
      <c r="EZ153" s="354"/>
      <c r="FA153" s="354"/>
      <c r="FB153" s="362"/>
      <c r="FC153" s="387"/>
      <c r="FD153" s="362"/>
      <c r="FE153" s="359"/>
      <c r="FF153" s="359"/>
      <c r="FG153" s="359"/>
      <c r="FH153" s="358"/>
      <c r="FI153" s="359"/>
      <c r="FJ153" s="359"/>
      <c r="FK153" s="359"/>
      <c r="FL153" s="359"/>
      <c r="FM153" s="354"/>
      <c r="FN153" s="357"/>
      <c r="FO153" s="355"/>
      <c r="FP153" s="358"/>
      <c r="FQ153" s="390"/>
      <c r="FR153" s="390"/>
      <c r="FS153" s="359"/>
      <c r="FT153" s="390"/>
      <c r="FU153" s="359"/>
      <c r="FV153" s="390"/>
      <c r="FW153" s="359"/>
      <c r="FX153" s="390"/>
      <c r="FY153" s="358"/>
      <c r="FZ153" s="357"/>
      <c r="GA153" s="355"/>
      <c r="GB153" s="355"/>
      <c r="GC153" s="357"/>
      <c r="GD153" s="357"/>
      <c r="GE153" s="390"/>
      <c r="GF153" s="357"/>
      <c r="GG153" s="357"/>
      <c r="GH153" s="357"/>
      <c r="GI153" s="354"/>
      <c r="GJ153" s="380"/>
      <c r="GK153" s="354"/>
      <c r="GL153" s="363"/>
      <c r="GM153" s="355"/>
      <c r="GN153" s="355"/>
      <c r="GO153" s="356"/>
      <c r="GP153" s="356"/>
      <c r="GQ153" s="357"/>
      <c r="GR153" s="390"/>
    </row>
    <row r="154" spans="1:200" ht="13.5" customHeight="1" x14ac:dyDescent="0.2">
      <c r="A154" s="367"/>
      <c r="B154" s="369"/>
      <c r="C154" s="380"/>
      <c r="D154" s="367"/>
      <c r="E154" s="367"/>
      <c r="F154" s="367"/>
      <c r="G154" s="354"/>
      <c r="H154" s="357"/>
      <c r="I154" s="357"/>
      <c r="J154" s="367"/>
      <c r="K154" s="369"/>
      <c r="L154" s="356"/>
      <c r="M154" s="357"/>
      <c r="N154" s="363"/>
      <c r="O154" s="367"/>
      <c r="P154" s="363"/>
      <c r="Q154" s="363"/>
      <c r="R154" s="363"/>
      <c r="S154" s="363"/>
      <c r="T154" s="367"/>
      <c r="U154" s="354"/>
      <c r="V154" s="367"/>
      <c r="W154" s="363"/>
      <c r="X154" s="367"/>
      <c r="Y154" s="367"/>
      <c r="Z154" s="365"/>
      <c r="AA154" s="380"/>
      <c r="AB154" s="380"/>
      <c r="AC154" s="354"/>
      <c r="AD154" s="354"/>
      <c r="AE154" s="357"/>
      <c r="AF154" s="354"/>
      <c r="AG154" s="354"/>
      <c r="AH154" s="357"/>
      <c r="AI154" s="357"/>
      <c r="AJ154" s="354"/>
      <c r="AK154" s="354"/>
      <c r="AL154" s="354"/>
      <c r="AM154" s="354"/>
      <c r="AN154" s="381"/>
      <c r="AO154" s="380"/>
      <c r="AP154" s="367"/>
      <c r="AQ154" s="380"/>
      <c r="AR154" s="380"/>
      <c r="AS154" s="354"/>
      <c r="AT154" s="354"/>
      <c r="AU154" s="365"/>
      <c r="AV154" s="381"/>
      <c r="AW154" s="380"/>
      <c r="AX154" s="354"/>
      <c r="AY154" s="354"/>
      <c r="AZ154" s="354"/>
      <c r="BA154" s="354"/>
      <c r="BB154" s="354"/>
      <c r="BC154" s="357"/>
      <c r="BD154" s="354"/>
      <c r="BE154" s="357"/>
      <c r="BF154" s="381"/>
      <c r="BG154" s="381"/>
      <c r="BH154" s="354"/>
      <c r="BI154" s="380"/>
      <c r="BJ154" s="357"/>
      <c r="BK154" s="357"/>
      <c r="BL154" s="354"/>
      <c r="BM154" s="354"/>
      <c r="BN154" s="354"/>
      <c r="BO154" s="354"/>
      <c r="BP154" s="357"/>
      <c r="BQ154" s="381"/>
      <c r="BR154" s="380"/>
      <c r="BS154" s="354"/>
      <c r="BT154" s="354"/>
      <c r="BU154" s="354"/>
      <c r="BV154" s="354"/>
      <c r="BW154" s="354"/>
      <c r="BX154" s="354"/>
      <c r="BY154" s="354"/>
      <c r="BZ154" s="354"/>
      <c r="CA154" s="381"/>
      <c r="CB154" s="354"/>
      <c r="CC154" s="354"/>
      <c r="CD154" s="393"/>
      <c r="CE154" s="393"/>
      <c r="CF154" s="393"/>
      <c r="CG154" s="393"/>
      <c r="CH154" s="393"/>
      <c r="CI154" s="395"/>
      <c r="CJ154" s="354"/>
      <c r="CK154" s="354"/>
      <c r="CL154" s="354"/>
      <c r="CM154" s="381"/>
      <c r="CN154" s="393"/>
      <c r="CO154" s="381"/>
      <c r="CP154" s="354"/>
      <c r="CQ154" s="395"/>
      <c r="CR154" s="393"/>
      <c r="CS154" s="393"/>
      <c r="CT154" s="354"/>
      <c r="CU154" s="381"/>
      <c r="CV154" s="393"/>
      <c r="CW154" s="393"/>
      <c r="CX154" s="393"/>
      <c r="CY154" s="393"/>
      <c r="CZ154" s="393"/>
      <c r="DA154" s="393"/>
      <c r="DB154" s="393"/>
      <c r="DC154" s="393"/>
      <c r="DD154" s="393"/>
      <c r="DE154" s="354"/>
      <c r="DF154" s="354"/>
      <c r="DG154" s="393"/>
      <c r="DH154" s="393"/>
      <c r="DI154" s="393"/>
      <c r="DJ154" s="393"/>
      <c r="DK154" s="393"/>
      <c r="DL154" s="393"/>
      <c r="DM154" s="393"/>
      <c r="DN154" s="393"/>
      <c r="DO154" s="393"/>
      <c r="DP154" s="354"/>
      <c r="DQ154" s="354"/>
      <c r="DR154" s="381"/>
      <c r="DS154" s="393"/>
      <c r="DT154" s="395"/>
      <c r="DU154" s="354"/>
      <c r="DV154" s="354"/>
      <c r="DW154" s="354"/>
      <c r="DX154" s="365"/>
      <c r="DY154" s="355"/>
      <c r="DZ154" s="355"/>
      <c r="EA154" s="365"/>
      <c r="EB154" s="355"/>
      <c r="EC154" s="356"/>
      <c r="ED154" s="365"/>
      <c r="EE154" s="356"/>
      <c r="EF154" s="355"/>
      <c r="EG154" s="367"/>
      <c r="EH154" s="355"/>
      <c r="EI154" s="365"/>
      <c r="EJ154" s="355"/>
      <c r="EK154" s="356"/>
      <c r="EL154" s="354"/>
      <c r="EM154" s="354"/>
      <c r="EN154" s="355"/>
      <c r="EO154" s="369"/>
      <c r="EP154" s="369"/>
      <c r="EQ154" s="355"/>
      <c r="ER154" s="354"/>
      <c r="ES154" s="354"/>
      <c r="ET154" s="354"/>
      <c r="EU154" s="354"/>
      <c r="EV154" s="354"/>
      <c r="EW154" s="354"/>
      <c r="EX154" s="354"/>
      <c r="EY154" s="354"/>
      <c r="EZ154" s="354"/>
      <c r="FA154" s="354"/>
      <c r="FB154" s="359"/>
      <c r="FC154" s="355"/>
      <c r="FD154" s="365"/>
      <c r="FE154" s="359"/>
      <c r="FF154" s="359"/>
      <c r="FG154" s="358"/>
      <c r="FH154" s="359"/>
      <c r="FI154" s="359"/>
      <c r="FJ154" s="359"/>
      <c r="FK154" s="359"/>
      <c r="FL154" s="359"/>
      <c r="FM154" s="354"/>
      <c r="FN154" s="354"/>
      <c r="FO154" s="355"/>
      <c r="FP154" s="355"/>
      <c r="FQ154" s="355"/>
      <c r="FR154" s="358"/>
      <c r="FS154" s="355"/>
      <c r="FT154" s="355"/>
      <c r="FU154" s="355"/>
      <c r="FV154" s="361"/>
      <c r="FW154" s="361"/>
      <c r="FX154" s="355"/>
      <c r="FY154" s="358"/>
      <c r="FZ154" s="358"/>
      <c r="GA154" s="362"/>
      <c r="GB154" s="355"/>
      <c r="GC154" s="357"/>
      <c r="GD154" s="357"/>
      <c r="GE154" s="357"/>
      <c r="GF154" s="357"/>
      <c r="GG154" s="357"/>
      <c r="GH154" s="357"/>
      <c r="GI154" s="367"/>
      <c r="GJ154" s="369"/>
      <c r="GK154" s="354"/>
      <c r="GL154" s="354"/>
      <c r="GM154" s="354"/>
      <c r="GN154" s="354"/>
      <c r="GO154" s="357"/>
      <c r="GP154" s="355"/>
      <c r="GQ154" s="357"/>
      <c r="GR154" s="365"/>
    </row>
    <row r="155" spans="1:200" ht="13.5" customHeight="1" x14ac:dyDescent="0.2">
      <c r="A155" s="367"/>
      <c r="B155" s="367"/>
      <c r="C155" s="365"/>
      <c r="D155" s="357"/>
      <c r="E155" s="367"/>
      <c r="F155" s="357"/>
      <c r="G155" s="359"/>
      <c r="H155" s="357"/>
      <c r="I155" s="357"/>
      <c r="J155" s="380"/>
      <c r="K155" s="398"/>
      <c r="L155" s="398"/>
      <c r="M155" s="357"/>
      <c r="N155" s="363"/>
      <c r="O155" s="367"/>
      <c r="P155" s="363"/>
      <c r="Q155" s="363"/>
      <c r="R155" s="363"/>
      <c r="S155" s="398"/>
      <c r="T155" s="363"/>
      <c r="U155" s="357"/>
      <c r="V155" s="363"/>
      <c r="W155" s="363"/>
      <c r="X155" s="357"/>
      <c r="Y155" s="365"/>
      <c r="Z155" s="380"/>
      <c r="AA155" s="380"/>
      <c r="AB155" s="357"/>
      <c r="AC155" s="357"/>
      <c r="AD155" s="380"/>
      <c r="AE155" s="357"/>
      <c r="AF155" s="354"/>
      <c r="AG155" s="354"/>
      <c r="AH155" s="354"/>
      <c r="AI155" s="354"/>
      <c r="AJ155" s="354"/>
      <c r="AK155" s="354"/>
      <c r="AL155" s="357"/>
      <c r="AM155" s="354"/>
      <c r="AN155" s="354"/>
      <c r="AO155" s="381"/>
      <c r="AP155" s="380"/>
      <c r="AQ155" s="380"/>
      <c r="AR155" s="357"/>
      <c r="AS155" s="357"/>
      <c r="AT155" s="354"/>
      <c r="AU155" s="380"/>
      <c r="AV155" s="354"/>
      <c r="AW155" s="380"/>
      <c r="AX155" s="354"/>
      <c r="AY155" s="354"/>
      <c r="AZ155" s="354"/>
      <c r="BA155" s="354"/>
      <c r="BB155" s="354"/>
      <c r="BC155" s="357"/>
      <c r="BD155" s="357"/>
      <c r="BE155" s="357"/>
      <c r="BF155" s="354"/>
      <c r="BG155" s="381"/>
      <c r="BH155" s="354"/>
      <c r="BI155" s="357"/>
      <c r="BJ155" s="357"/>
      <c r="BK155" s="354"/>
      <c r="BL155" s="354"/>
      <c r="BM155" s="354"/>
      <c r="BN155" s="354"/>
      <c r="BO155" s="354"/>
      <c r="BP155" s="354"/>
      <c r="BQ155" s="381"/>
      <c r="BR155" s="381"/>
      <c r="BS155" s="354"/>
      <c r="BT155" s="354"/>
      <c r="BU155" s="354"/>
      <c r="BV155" s="354"/>
      <c r="BW155" s="354"/>
      <c r="BX155" s="354"/>
      <c r="BY155" s="354"/>
      <c r="BZ155" s="354"/>
      <c r="CA155" s="354"/>
      <c r="CB155" s="354"/>
      <c r="CC155" s="354"/>
      <c r="CD155" s="393"/>
      <c r="CE155" s="354"/>
      <c r="CF155" s="354"/>
      <c r="CG155" s="354"/>
      <c r="CH155" s="354"/>
      <c r="CI155" s="354"/>
      <c r="CJ155" s="354"/>
      <c r="CK155" s="354"/>
      <c r="CL155" s="393"/>
      <c r="CM155" s="393"/>
      <c r="CN155" s="393"/>
      <c r="CO155" s="354"/>
      <c r="CP155" s="381"/>
      <c r="CQ155" s="393"/>
      <c r="CR155" s="393"/>
      <c r="CS155" s="354"/>
      <c r="CT155" s="354"/>
      <c r="CU155" s="393"/>
      <c r="CV155" s="393"/>
      <c r="CW155" s="393"/>
      <c r="CX155" s="395"/>
      <c r="CY155" s="393"/>
      <c r="CZ155" s="393"/>
      <c r="DA155" s="393"/>
      <c r="DB155" s="393"/>
      <c r="DC155" s="393"/>
      <c r="DD155" s="381"/>
      <c r="DE155" s="354"/>
      <c r="DF155" s="354"/>
      <c r="DG155" s="393"/>
      <c r="DH155" s="354"/>
      <c r="DI155" s="381"/>
      <c r="DJ155" s="393"/>
      <c r="DK155" s="393"/>
      <c r="DL155" s="393"/>
      <c r="DM155" s="393"/>
      <c r="DN155" s="393"/>
      <c r="DO155" s="354"/>
      <c r="DP155" s="354"/>
      <c r="DQ155" s="381"/>
      <c r="DR155" s="393"/>
      <c r="DS155" s="393"/>
      <c r="DT155" s="354"/>
      <c r="DU155" s="354"/>
      <c r="DV155" s="354"/>
      <c r="DW155" s="354"/>
      <c r="DX155" s="365"/>
      <c r="DY155" s="357"/>
      <c r="DZ155" s="380"/>
      <c r="EA155" s="398"/>
      <c r="EB155" s="355"/>
      <c r="EC155" s="357"/>
      <c r="ED155" s="354"/>
      <c r="EE155" s="355"/>
      <c r="EF155" s="367"/>
      <c r="EG155" s="367"/>
      <c r="EH155" s="355"/>
      <c r="EI155" s="365"/>
      <c r="EJ155" s="355"/>
      <c r="EK155" s="355"/>
      <c r="EL155" s="357"/>
      <c r="EM155" s="355"/>
      <c r="EN155" s="355"/>
      <c r="EO155" s="356"/>
      <c r="EP155" s="356"/>
      <c r="EQ155" s="365"/>
      <c r="ER155" s="357"/>
      <c r="ES155" s="354"/>
      <c r="ET155" s="357"/>
      <c r="EU155" s="357"/>
      <c r="EV155" s="355"/>
      <c r="EW155" s="355"/>
      <c r="EX155" s="355"/>
      <c r="EY155" s="355"/>
      <c r="EZ155" s="357"/>
      <c r="FA155" s="354"/>
      <c r="FB155" s="359"/>
      <c r="FC155" s="359"/>
      <c r="FD155" s="358"/>
      <c r="FE155" s="357"/>
      <c r="FF155" s="359"/>
      <c r="FG155" s="359"/>
      <c r="FH155" s="359"/>
      <c r="FI155" s="359"/>
      <c r="FJ155" s="357"/>
      <c r="FK155" s="357"/>
      <c r="FL155" s="359"/>
      <c r="FM155" s="359"/>
      <c r="FN155" s="357"/>
      <c r="FO155" s="358"/>
      <c r="FP155" s="355"/>
      <c r="FQ155" s="362"/>
      <c r="FR155" s="362"/>
      <c r="FS155" s="358"/>
      <c r="FT155" s="362"/>
      <c r="FU155" s="362"/>
      <c r="FV155" s="362"/>
      <c r="FW155" s="362"/>
      <c r="FX155" s="362"/>
      <c r="FY155" s="362"/>
      <c r="FZ155" s="358"/>
      <c r="GA155" s="358"/>
      <c r="GB155" s="355"/>
      <c r="GC155" s="355"/>
      <c r="GD155" s="357"/>
      <c r="GE155" s="357"/>
      <c r="GF155" s="357"/>
      <c r="GG155" s="367"/>
      <c r="GH155" s="357"/>
      <c r="GI155" s="357"/>
      <c r="GJ155" s="354"/>
      <c r="GK155" s="357"/>
      <c r="GL155" s="380"/>
      <c r="GM155" s="357"/>
      <c r="GN155" s="380"/>
      <c r="GO155" s="380"/>
      <c r="GP155" s="365"/>
      <c r="GQ155" s="365"/>
      <c r="GR155" s="357"/>
    </row>
    <row r="156" spans="1:200" ht="13.5" customHeight="1" x14ac:dyDescent="0.2">
      <c r="A156" s="357"/>
      <c r="B156" s="365"/>
      <c r="C156" s="380"/>
      <c r="D156" s="357"/>
      <c r="E156" s="357"/>
      <c r="F156" s="357"/>
      <c r="G156" s="357"/>
      <c r="H156" s="357"/>
      <c r="I156" s="357"/>
      <c r="J156" s="380"/>
      <c r="K156" s="363"/>
      <c r="L156" s="363"/>
      <c r="M156" s="380"/>
      <c r="N156" s="367"/>
      <c r="O156" s="367"/>
      <c r="P156" s="363"/>
      <c r="Q156" s="398"/>
      <c r="R156" s="363"/>
      <c r="S156" s="398"/>
      <c r="T156" s="363"/>
      <c r="U156" s="380"/>
      <c r="V156" s="367"/>
      <c r="W156" s="365"/>
      <c r="X156" s="367"/>
      <c r="Y156" s="357"/>
      <c r="Z156" s="357"/>
      <c r="AA156" s="357"/>
      <c r="AB156" s="367"/>
      <c r="AC156" s="380"/>
      <c r="AD156" s="367"/>
      <c r="AE156" s="354"/>
      <c r="AF156" s="380"/>
      <c r="AG156" s="380"/>
      <c r="AH156" s="354"/>
      <c r="AI156" s="357"/>
      <c r="AJ156" s="354"/>
      <c r="AK156" s="354"/>
      <c r="AL156" s="354"/>
      <c r="AM156" s="354"/>
      <c r="AN156" s="354"/>
      <c r="AO156" s="381"/>
      <c r="AP156" s="380"/>
      <c r="AQ156" s="380"/>
      <c r="AR156" s="357"/>
      <c r="AS156" s="357"/>
      <c r="AT156" s="354"/>
      <c r="AU156" s="380"/>
      <c r="AV156" s="354"/>
      <c r="AW156" s="380"/>
      <c r="AX156" s="354"/>
      <c r="AY156" s="354"/>
      <c r="AZ156" s="354"/>
      <c r="BA156" s="357"/>
      <c r="BB156" s="357"/>
      <c r="BC156" s="357"/>
      <c r="BD156" s="357"/>
      <c r="BE156" s="357"/>
      <c r="BF156" s="357"/>
      <c r="BG156" s="354"/>
      <c r="BH156" s="381"/>
      <c r="BI156" s="357"/>
      <c r="BJ156" s="357"/>
      <c r="BK156" s="357"/>
      <c r="BL156" s="354"/>
      <c r="BM156" s="354"/>
      <c r="BN156" s="354"/>
      <c r="BO156" s="354"/>
      <c r="BP156" s="354"/>
      <c r="BQ156" s="381"/>
      <c r="BR156" s="398"/>
      <c r="BS156" s="381"/>
      <c r="BT156" s="354"/>
      <c r="BU156" s="357"/>
      <c r="BV156" s="354"/>
      <c r="BW156" s="354"/>
      <c r="BX156" s="354"/>
      <c r="BY156" s="354"/>
      <c r="BZ156" s="354"/>
      <c r="CA156" s="354"/>
      <c r="CB156" s="354"/>
      <c r="CC156" s="354"/>
      <c r="CD156" s="354"/>
      <c r="CE156" s="354"/>
      <c r="CF156" s="354"/>
      <c r="CG156" s="354"/>
      <c r="CH156" s="354"/>
      <c r="CI156" s="354"/>
      <c r="CJ156" s="381"/>
      <c r="CK156" s="393"/>
      <c r="CL156" s="393"/>
      <c r="CM156" s="393"/>
      <c r="CN156" s="354"/>
      <c r="CO156" s="354"/>
      <c r="CP156" s="393"/>
      <c r="CQ156" s="393"/>
      <c r="CR156" s="381"/>
      <c r="CS156" s="354"/>
      <c r="CT156" s="354"/>
      <c r="CU156" s="393"/>
      <c r="CV156" s="354"/>
      <c r="CW156" s="354"/>
      <c r="CX156" s="354"/>
      <c r="CY156" s="354"/>
      <c r="CZ156" s="354"/>
      <c r="DA156" s="354"/>
      <c r="DB156" s="354"/>
      <c r="DC156" s="354"/>
      <c r="DD156" s="354"/>
      <c r="DE156" s="354"/>
      <c r="DF156" s="354"/>
      <c r="DG156" s="354"/>
      <c r="DH156" s="354"/>
      <c r="DI156" s="354"/>
      <c r="DJ156" s="381"/>
      <c r="DK156" s="393"/>
      <c r="DL156" s="393"/>
      <c r="DM156" s="393"/>
      <c r="DN156" s="381"/>
      <c r="DO156" s="354"/>
      <c r="DP156" s="354"/>
      <c r="DQ156" s="395"/>
      <c r="DR156" s="381"/>
      <c r="DS156" s="354"/>
      <c r="DT156" s="354"/>
      <c r="DU156" s="354"/>
      <c r="DV156" s="354"/>
      <c r="DW156" s="380"/>
      <c r="DX156" s="355"/>
      <c r="DY156" s="354"/>
      <c r="DZ156" s="355"/>
      <c r="EA156" s="398"/>
      <c r="EB156" s="357"/>
      <c r="EC156" s="365"/>
      <c r="ED156" s="355"/>
      <c r="EE156" s="355"/>
      <c r="EF156" s="367"/>
      <c r="EG156" s="355"/>
      <c r="EH156" s="380"/>
      <c r="EI156" s="398"/>
      <c r="EJ156" s="356"/>
      <c r="EK156" s="357"/>
      <c r="EL156" s="354"/>
      <c r="EM156" s="354"/>
      <c r="EN156" s="357"/>
      <c r="EO156" s="357"/>
      <c r="EP156" s="356"/>
      <c r="EQ156" s="356"/>
      <c r="ER156" s="356"/>
      <c r="ES156" s="360"/>
      <c r="ET156" s="355"/>
      <c r="EU156" s="358"/>
      <c r="EV156" s="355"/>
      <c r="EW156" s="358"/>
      <c r="EX156" s="361"/>
      <c r="EY156" s="358"/>
      <c r="EZ156" s="354"/>
      <c r="FA156" s="357"/>
      <c r="FB156" s="357"/>
      <c r="FC156" s="359"/>
      <c r="FD156" s="359"/>
      <c r="FE156" s="357"/>
      <c r="FF156" s="359"/>
      <c r="FG156" s="359"/>
      <c r="FH156" s="359"/>
      <c r="FI156" s="357"/>
      <c r="FJ156" s="367"/>
      <c r="FK156" s="357"/>
      <c r="FL156" s="354"/>
      <c r="FM156" s="359"/>
      <c r="FN156" s="354"/>
      <c r="FO156" s="358"/>
      <c r="FP156" s="362"/>
      <c r="FQ156" s="362"/>
      <c r="FR156" s="362"/>
      <c r="FS156" s="362"/>
      <c r="FT156" s="361"/>
      <c r="FU156" s="361"/>
      <c r="FV156" s="361"/>
      <c r="FW156" s="362"/>
      <c r="FX156" s="362"/>
      <c r="FY156" s="362"/>
      <c r="FZ156" s="358"/>
      <c r="GA156" s="361"/>
      <c r="GB156" s="355"/>
      <c r="GC156" s="355"/>
      <c r="GD156" s="357"/>
      <c r="GE156" s="357"/>
      <c r="GF156" s="357"/>
      <c r="GG156" s="357"/>
      <c r="GH156" s="380"/>
      <c r="GI156" s="380"/>
      <c r="GJ156" s="365"/>
      <c r="GK156" s="398"/>
      <c r="GL156" s="354"/>
      <c r="GM156" s="357"/>
      <c r="GN156" s="357"/>
      <c r="GO156" s="367"/>
      <c r="GP156" s="367"/>
      <c r="GQ156" s="357"/>
      <c r="GR156" s="380"/>
    </row>
    <row r="157" spans="1:200" ht="13.5" customHeight="1" x14ac:dyDescent="0.2">
      <c r="A157" s="357"/>
      <c r="B157" s="365"/>
      <c r="C157" s="367"/>
      <c r="D157" s="380"/>
      <c r="E157" s="357"/>
      <c r="F157" s="357"/>
      <c r="G157" s="357"/>
      <c r="H157" s="357"/>
      <c r="I157" s="380"/>
      <c r="J157" s="380"/>
      <c r="K157" s="363"/>
      <c r="L157" s="380"/>
      <c r="M157" s="380"/>
      <c r="N157" s="380"/>
      <c r="O157" s="380"/>
      <c r="P157" s="367"/>
      <c r="Q157" s="363"/>
      <c r="R157" s="380"/>
      <c r="S157" s="363"/>
      <c r="T157" s="363"/>
      <c r="U157" s="367"/>
      <c r="V157" s="367"/>
      <c r="W157" s="367"/>
      <c r="X157" s="355"/>
      <c r="Y157" s="357"/>
      <c r="Z157" s="357"/>
      <c r="AA157" s="357"/>
      <c r="AB157" s="357"/>
      <c r="AC157" s="357"/>
      <c r="AD157" s="367"/>
      <c r="AE157" s="356"/>
      <c r="AF157" s="357"/>
      <c r="AG157" s="357"/>
      <c r="AH157" s="357"/>
      <c r="AI157" s="354"/>
      <c r="AJ157" s="354"/>
      <c r="AK157" s="354"/>
      <c r="AL157" s="354"/>
      <c r="AM157" s="354"/>
      <c r="AN157" s="354"/>
      <c r="AO157" s="380"/>
      <c r="AP157" s="380"/>
      <c r="AQ157" s="365"/>
      <c r="AR157" s="357"/>
      <c r="AS157" s="357"/>
      <c r="AT157" s="354"/>
      <c r="AU157" s="380"/>
      <c r="AV157" s="354"/>
      <c r="AW157" s="357"/>
      <c r="AX157" s="354"/>
      <c r="AY157" s="354"/>
      <c r="AZ157" s="354"/>
      <c r="BA157" s="357"/>
      <c r="BB157" s="357"/>
      <c r="BC157" s="357"/>
      <c r="BD157" s="357"/>
      <c r="BE157" s="357"/>
      <c r="BF157" s="357"/>
      <c r="BG157" s="354"/>
      <c r="BH157" s="354"/>
      <c r="BI157" s="354"/>
      <c r="BJ157" s="354"/>
      <c r="BK157" s="354"/>
      <c r="BL157" s="357"/>
      <c r="BM157" s="354"/>
      <c r="BN157" s="354"/>
      <c r="BO157" s="354"/>
      <c r="BP157" s="354"/>
      <c r="BQ157" s="354"/>
      <c r="BR157" s="381"/>
      <c r="BS157" s="381"/>
      <c r="BT157" s="381"/>
      <c r="BU157" s="357"/>
      <c r="BV157" s="354"/>
      <c r="BW157" s="354"/>
      <c r="BX157" s="357"/>
      <c r="BY157" s="357"/>
      <c r="BZ157" s="354"/>
      <c r="CA157" s="354"/>
      <c r="CB157" s="354"/>
      <c r="CC157" s="354"/>
      <c r="CD157" s="354"/>
      <c r="CE157" s="354"/>
      <c r="CF157" s="354"/>
      <c r="CG157" s="354"/>
      <c r="CH157" s="381"/>
      <c r="CI157" s="381"/>
      <c r="CJ157" s="395"/>
      <c r="CK157" s="393"/>
      <c r="CL157" s="354"/>
      <c r="CM157" s="354"/>
      <c r="CN157" s="354"/>
      <c r="CO157" s="354"/>
      <c r="CP157" s="381"/>
      <c r="CQ157" s="381"/>
      <c r="CR157" s="354"/>
      <c r="CS157" s="354"/>
      <c r="CT157" s="354"/>
      <c r="CU157" s="354"/>
      <c r="CV157" s="354"/>
      <c r="CW157" s="354"/>
      <c r="CX157" s="357"/>
      <c r="CY157" s="354"/>
      <c r="CZ157" s="354"/>
      <c r="DA157" s="354"/>
      <c r="DB157" s="354"/>
      <c r="DC157" s="354"/>
      <c r="DD157" s="354"/>
      <c r="DE157" s="357"/>
      <c r="DF157" s="354"/>
      <c r="DG157" s="354"/>
      <c r="DH157" s="354"/>
      <c r="DI157" s="354"/>
      <c r="DJ157" s="354"/>
      <c r="DK157" s="354"/>
      <c r="DL157" s="354"/>
      <c r="DM157" s="354"/>
      <c r="DN157" s="354"/>
      <c r="DO157" s="354"/>
      <c r="DP157" s="354"/>
      <c r="DQ157" s="354"/>
      <c r="DR157" s="354"/>
      <c r="DS157" s="354"/>
      <c r="DT157" s="354"/>
      <c r="DU157" s="398"/>
      <c r="DV157" s="367"/>
      <c r="DW157" s="355"/>
      <c r="DX157" s="355"/>
      <c r="DY157" s="355"/>
      <c r="DZ157" s="365"/>
      <c r="EA157" s="381"/>
      <c r="EB157" s="357"/>
      <c r="EC157" s="367"/>
      <c r="ED157" s="355"/>
      <c r="EE157" s="355"/>
      <c r="EF157" s="355"/>
      <c r="EG157" s="355"/>
      <c r="EH157" s="398"/>
      <c r="EI157" s="355"/>
      <c r="EJ157" s="354"/>
      <c r="EK157" s="357"/>
      <c r="EL157" s="356"/>
      <c r="EM157" s="367"/>
      <c r="EN157" s="356"/>
      <c r="EO157" s="356"/>
      <c r="EP157" s="363"/>
      <c r="EQ157" s="356"/>
      <c r="ER157" s="365"/>
      <c r="ES157" s="364"/>
      <c r="ET157" s="359"/>
      <c r="EU157" s="358"/>
      <c r="EV157" s="359"/>
      <c r="EW157" s="359"/>
      <c r="EX157" s="361"/>
      <c r="EY157" s="359"/>
      <c r="EZ157" s="354"/>
      <c r="FA157" s="355"/>
      <c r="FB157" s="354"/>
      <c r="FC157" s="357"/>
      <c r="FD157" s="365"/>
      <c r="FE157" s="357"/>
      <c r="FF157" s="362"/>
      <c r="FG157" s="359"/>
      <c r="FH157" s="358"/>
      <c r="FI157" s="359"/>
      <c r="FJ157" s="358"/>
      <c r="FK157" s="359"/>
      <c r="FL157" s="354"/>
      <c r="FM157" s="357"/>
      <c r="FN157" s="357"/>
      <c r="FO157" s="357"/>
      <c r="FP157" s="358"/>
      <c r="FQ157" s="358"/>
      <c r="FR157" s="358"/>
      <c r="FS157" s="358"/>
      <c r="FT157" s="358"/>
      <c r="FU157" s="359"/>
      <c r="FV157" s="358"/>
      <c r="FW157" s="358"/>
      <c r="FX157" s="358"/>
      <c r="FY157" s="355"/>
      <c r="FZ157" s="358"/>
      <c r="GA157" s="355"/>
      <c r="GB157" s="355"/>
      <c r="GC157" s="357"/>
      <c r="GD157" s="357"/>
      <c r="GE157" s="357"/>
      <c r="GF157" s="357"/>
      <c r="GG157" s="365"/>
      <c r="GH157" s="380"/>
      <c r="GI157" s="367"/>
      <c r="GJ157" s="357"/>
      <c r="GK157" s="357"/>
      <c r="GL157" s="357"/>
      <c r="GM157" s="357"/>
      <c r="GN157" s="357"/>
      <c r="GO157" s="357"/>
      <c r="GP157" s="365"/>
      <c r="GQ157" s="355"/>
      <c r="GR157" s="355"/>
    </row>
    <row r="158" spans="1:200" ht="13.5" customHeight="1" x14ac:dyDescent="0.2">
      <c r="A158" s="367"/>
      <c r="B158" s="380"/>
      <c r="C158" s="380"/>
      <c r="D158" s="365"/>
      <c r="E158" s="354"/>
      <c r="F158" s="357"/>
      <c r="G158" s="357"/>
      <c r="H158" s="357"/>
      <c r="I158" s="357"/>
      <c r="J158" s="357"/>
      <c r="K158" s="380"/>
      <c r="L158" s="367"/>
      <c r="M158" s="367"/>
      <c r="N158" s="380"/>
      <c r="O158" s="380"/>
      <c r="P158" s="380"/>
      <c r="Q158" s="367"/>
      <c r="R158" s="367"/>
      <c r="S158" s="357"/>
      <c r="T158" s="380"/>
      <c r="U158" s="367"/>
      <c r="V158" s="367"/>
      <c r="W158" s="380"/>
      <c r="X158" s="367"/>
      <c r="Y158" s="367"/>
      <c r="Z158" s="355"/>
      <c r="AA158" s="367"/>
      <c r="AB158" s="367"/>
      <c r="AC158" s="367"/>
      <c r="AD158" s="380"/>
      <c r="AE158" s="363"/>
      <c r="AF158" s="357"/>
      <c r="AG158" s="357"/>
      <c r="AH158" s="357"/>
      <c r="AI158" s="357"/>
      <c r="AJ158" s="354"/>
      <c r="AK158" s="357"/>
      <c r="AL158" s="354"/>
      <c r="AM158" s="357"/>
      <c r="AN158" s="354"/>
      <c r="AO158" s="380"/>
      <c r="AP158" s="380"/>
      <c r="AQ158" s="357"/>
      <c r="AR158" s="357"/>
      <c r="AS158" s="357"/>
      <c r="AT158" s="357"/>
      <c r="AU158" s="357"/>
      <c r="AV158" s="354"/>
      <c r="AW158" s="354"/>
      <c r="AX158" s="354"/>
      <c r="AY158" s="354"/>
      <c r="AZ158" s="354"/>
      <c r="BA158" s="354"/>
      <c r="BB158" s="357"/>
      <c r="BC158" s="357"/>
      <c r="BD158" s="357"/>
      <c r="BE158" s="357"/>
      <c r="BF158" s="357"/>
      <c r="BG158" s="354"/>
      <c r="BH158" s="354"/>
      <c r="BI158" s="354"/>
      <c r="BJ158" s="354"/>
      <c r="BK158" s="357"/>
      <c r="BL158" s="357"/>
      <c r="BM158" s="354"/>
      <c r="BN158" s="354"/>
      <c r="BO158" s="354"/>
      <c r="BP158" s="354"/>
      <c r="BQ158" s="354"/>
      <c r="BR158" s="354"/>
      <c r="BS158" s="381"/>
      <c r="BT158" s="381"/>
      <c r="BU158" s="380"/>
      <c r="BV158" s="354"/>
      <c r="BW158" s="354"/>
      <c r="BX158" s="354"/>
      <c r="BY158" s="357"/>
      <c r="BZ158" s="357"/>
      <c r="CA158" s="354"/>
      <c r="CB158" s="354"/>
      <c r="CC158" s="354"/>
      <c r="CD158" s="354"/>
      <c r="CE158" s="354"/>
      <c r="CF158" s="354"/>
      <c r="CG158" s="354"/>
      <c r="CH158" s="354"/>
      <c r="CI158" s="380"/>
      <c r="CJ158" s="357"/>
      <c r="CK158" s="354"/>
      <c r="CL158" s="357"/>
      <c r="CM158" s="354"/>
      <c r="CN158" s="354"/>
      <c r="CO158" s="381"/>
      <c r="CP158" s="357"/>
      <c r="CQ158" s="357"/>
      <c r="CR158" s="365"/>
      <c r="CS158" s="357"/>
      <c r="CT158" s="365"/>
      <c r="CU158" s="357"/>
      <c r="CV158" s="365"/>
      <c r="CW158" s="357"/>
      <c r="CX158" s="380"/>
      <c r="CY158" s="380"/>
      <c r="CZ158" s="354"/>
      <c r="DA158" s="354"/>
      <c r="DB158" s="354"/>
      <c r="DC158" s="354"/>
      <c r="DD158" s="354"/>
      <c r="DE158" s="354"/>
      <c r="DF158" s="354"/>
      <c r="DG158" s="357"/>
      <c r="DH158" s="357"/>
      <c r="DI158" s="354"/>
      <c r="DJ158" s="354"/>
      <c r="DK158" s="354"/>
      <c r="DL158" s="354"/>
      <c r="DM158" s="354"/>
      <c r="DN158" s="354"/>
      <c r="DO158" s="354"/>
      <c r="DP158" s="354"/>
      <c r="DQ158" s="357"/>
      <c r="DR158" s="357"/>
      <c r="DS158" s="357"/>
      <c r="DT158" s="398"/>
      <c r="DU158" s="398"/>
      <c r="DV158" s="398"/>
      <c r="DW158" s="398"/>
      <c r="DX158" s="356"/>
      <c r="DY158" s="354"/>
      <c r="DZ158" s="354"/>
      <c r="EA158" s="357"/>
      <c r="EB158" s="354"/>
      <c r="EC158" s="354"/>
      <c r="ED158" s="357"/>
      <c r="EE158" s="357"/>
      <c r="EF158" s="357"/>
      <c r="EG158" s="365"/>
      <c r="EH158" s="398"/>
      <c r="EI158" s="355"/>
      <c r="EJ158" s="354"/>
      <c r="EK158" s="356"/>
      <c r="EL158" s="355"/>
      <c r="EM158" s="355"/>
      <c r="EN158" s="357"/>
      <c r="EO158" s="365"/>
      <c r="EP158" s="364"/>
      <c r="EQ158" s="359"/>
      <c r="ER158" s="364"/>
      <c r="ES158" s="356"/>
      <c r="ET158" s="359"/>
      <c r="EU158" s="361"/>
      <c r="EV158" s="359"/>
      <c r="EW158" s="355"/>
      <c r="EX158" s="359"/>
      <c r="EY158" s="357"/>
      <c r="EZ158" s="354"/>
      <c r="FA158" s="355"/>
      <c r="FB158" s="356"/>
      <c r="FC158" s="357"/>
      <c r="FD158" s="354"/>
      <c r="FE158" s="359"/>
      <c r="FF158" s="359"/>
      <c r="FG158" s="362"/>
      <c r="FH158" s="362"/>
      <c r="FI158" s="359"/>
      <c r="FJ158" s="359"/>
      <c r="FK158" s="358"/>
      <c r="FL158" s="359"/>
      <c r="FM158" s="354"/>
      <c r="FN158" s="354"/>
      <c r="FO158" s="354"/>
      <c r="FP158" s="365"/>
      <c r="FQ158" s="358"/>
      <c r="FR158" s="358"/>
      <c r="FS158" s="358"/>
      <c r="FT158" s="358"/>
      <c r="FU158" s="358"/>
      <c r="FV158" s="358"/>
      <c r="FW158" s="358"/>
      <c r="FX158" s="358"/>
      <c r="FY158" s="358"/>
      <c r="FZ158" s="358"/>
      <c r="GA158" s="358"/>
      <c r="GB158" s="359"/>
      <c r="GC158" s="359"/>
      <c r="GD158" s="357"/>
      <c r="GE158" s="357"/>
      <c r="GF158" s="380"/>
      <c r="GG158" s="365"/>
      <c r="GH158" s="367"/>
      <c r="GI158" s="357"/>
      <c r="GJ158" s="357"/>
      <c r="GK158" s="365"/>
      <c r="GL158" s="357"/>
      <c r="GM158" s="357"/>
      <c r="GN158" s="380"/>
      <c r="GO158" s="365"/>
      <c r="GP158" s="357"/>
      <c r="GQ158" s="357"/>
      <c r="GR158" s="355"/>
    </row>
    <row r="159" spans="1:200" ht="13.5" customHeight="1" x14ac:dyDescent="0.2">
      <c r="A159" s="354"/>
      <c r="B159" s="357"/>
      <c r="C159" s="354"/>
      <c r="D159" s="357"/>
      <c r="E159" s="357"/>
      <c r="F159" s="363"/>
      <c r="G159" s="398"/>
      <c r="H159" s="363"/>
      <c r="I159" s="380"/>
      <c r="J159" s="357"/>
      <c r="K159" s="363"/>
      <c r="L159" s="398"/>
      <c r="M159" s="367"/>
      <c r="N159" s="367"/>
      <c r="O159" s="367"/>
      <c r="P159" s="367"/>
      <c r="Q159" s="357"/>
      <c r="R159" s="355"/>
      <c r="S159" s="357"/>
      <c r="T159" s="359"/>
      <c r="U159" s="355"/>
      <c r="V159" s="367"/>
      <c r="W159" s="380"/>
      <c r="X159" s="367"/>
      <c r="Y159" s="367"/>
      <c r="Z159" s="365"/>
      <c r="AA159" s="367"/>
      <c r="AB159" s="357"/>
      <c r="AC159" s="357"/>
      <c r="AD159" s="367"/>
      <c r="AE159" s="363"/>
      <c r="AF159" s="354"/>
      <c r="AG159" s="357"/>
      <c r="AH159" s="357"/>
      <c r="AI159" s="357"/>
      <c r="AJ159" s="354"/>
      <c r="AK159" s="354"/>
      <c r="AL159" s="354"/>
      <c r="AM159" s="357"/>
      <c r="AN159" s="354"/>
      <c r="AO159" s="354"/>
      <c r="AP159" s="354"/>
      <c r="AQ159" s="357"/>
      <c r="AR159" s="357"/>
      <c r="AS159" s="354"/>
      <c r="AT159" s="380"/>
      <c r="AU159" s="357"/>
      <c r="AV159" s="354"/>
      <c r="AW159" s="354"/>
      <c r="AX159" s="354"/>
      <c r="AY159" s="357"/>
      <c r="AZ159" s="354"/>
      <c r="BA159" s="354"/>
      <c r="BB159" s="354"/>
      <c r="BC159" s="357"/>
      <c r="BD159" s="357"/>
      <c r="BE159" s="357"/>
      <c r="BF159" s="367"/>
      <c r="BG159" s="354"/>
      <c r="BH159" s="354"/>
      <c r="BI159" s="354"/>
      <c r="BJ159" s="357"/>
      <c r="BK159" s="354"/>
      <c r="BL159" s="380"/>
      <c r="BM159" s="354"/>
      <c r="BN159" s="354"/>
      <c r="BO159" s="354"/>
      <c r="BP159" s="354"/>
      <c r="BQ159" s="354"/>
      <c r="BR159" s="354"/>
      <c r="BS159" s="354"/>
      <c r="BT159" s="381"/>
      <c r="BU159" s="380"/>
      <c r="BV159" s="354"/>
      <c r="BW159" s="354"/>
      <c r="BX159" s="354"/>
      <c r="BY159" s="357"/>
      <c r="BZ159" s="357"/>
      <c r="CA159" s="354"/>
      <c r="CB159" s="354"/>
      <c r="CC159" s="354"/>
      <c r="CD159" s="354"/>
      <c r="CE159" s="381"/>
      <c r="CF159" s="381"/>
      <c r="CG159" s="381"/>
      <c r="CH159" s="381"/>
      <c r="CI159" s="354"/>
      <c r="CJ159" s="357"/>
      <c r="CK159" s="357"/>
      <c r="CL159" s="354"/>
      <c r="CM159" s="354"/>
      <c r="CN159" s="354"/>
      <c r="CO159" s="354"/>
      <c r="CP159" s="354"/>
      <c r="CQ159" s="357"/>
      <c r="CR159" s="357"/>
      <c r="CS159" s="357"/>
      <c r="CT159" s="357"/>
      <c r="CU159" s="357"/>
      <c r="CV159" s="357"/>
      <c r="CW159" s="357"/>
      <c r="CX159" s="357"/>
      <c r="CY159" s="354"/>
      <c r="CZ159" s="380"/>
      <c r="DA159" s="367"/>
      <c r="DB159" s="365"/>
      <c r="DC159" s="367"/>
      <c r="DD159" s="365"/>
      <c r="DE159" s="367"/>
      <c r="DF159" s="367"/>
      <c r="DG159" s="367"/>
      <c r="DH159" s="367"/>
      <c r="DI159" s="367"/>
      <c r="DJ159" s="365"/>
      <c r="DK159" s="365"/>
      <c r="DL159" s="354"/>
      <c r="DM159" s="354"/>
      <c r="DN159" s="354"/>
      <c r="DO159" s="354"/>
      <c r="DP159" s="354"/>
      <c r="DQ159" s="354"/>
      <c r="DR159" s="354"/>
      <c r="DS159" s="357"/>
      <c r="DT159" s="354"/>
      <c r="DU159" s="354"/>
      <c r="DV159" s="354"/>
      <c r="DW159" s="354"/>
      <c r="DX159" s="354"/>
      <c r="DY159" s="359"/>
      <c r="DZ159" s="357"/>
      <c r="EA159" s="365"/>
      <c r="EB159" s="359"/>
      <c r="EC159" s="365"/>
      <c r="ED159" s="367"/>
      <c r="EE159" s="355"/>
      <c r="EF159" s="355"/>
      <c r="EG159" s="365"/>
      <c r="EH159" s="355"/>
      <c r="EI159" s="357"/>
      <c r="EJ159" s="356"/>
      <c r="EK159" s="355"/>
      <c r="EL159" s="355"/>
      <c r="EM159" s="356"/>
      <c r="EN159" s="357"/>
      <c r="EO159" s="356"/>
      <c r="EP159" s="361"/>
      <c r="EQ159" s="359"/>
      <c r="ER159" s="360"/>
      <c r="ES159" s="359"/>
      <c r="ET159" s="356"/>
      <c r="EU159" s="355"/>
      <c r="EV159" s="359"/>
      <c r="EW159" s="355"/>
      <c r="EX159" s="357"/>
      <c r="EY159" s="354"/>
      <c r="EZ159" s="354"/>
      <c r="FA159" s="355"/>
      <c r="FB159" s="355"/>
      <c r="FC159" s="355"/>
      <c r="FD159" s="354"/>
      <c r="FE159" s="359"/>
      <c r="FF159" s="358"/>
      <c r="FG159" s="362"/>
      <c r="FH159" s="362"/>
      <c r="FI159" s="359"/>
      <c r="FJ159" s="355"/>
      <c r="FK159" s="365"/>
      <c r="FL159" s="357"/>
      <c r="FM159" s="358"/>
      <c r="FN159" s="359"/>
      <c r="FO159" s="354"/>
      <c r="FP159" s="357"/>
      <c r="FQ159" s="359"/>
      <c r="FR159" s="359"/>
      <c r="FS159" s="359"/>
      <c r="FT159" s="359"/>
      <c r="FU159" s="359"/>
      <c r="FV159" s="359"/>
      <c r="FW159" s="359"/>
      <c r="FX159" s="359"/>
      <c r="FY159" s="359"/>
      <c r="FZ159" s="359"/>
      <c r="GA159" s="357"/>
      <c r="GB159" s="357"/>
      <c r="GC159" s="357"/>
      <c r="GD159" s="357"/>
      <c r="GE159" s="365"/>
      <c r="GF159" s="365"/>
      <c r="GG159" s="380"/>
      <c r="GH159" s="380"/>
      <c r="GI159" s="365"/>
      <c r="GJ159" s="365"/>
      <c r="GK159" s="357"/>
      <c r="GL159" s="357"/>
      <c r="GM159" s="357"/>
      <c r="GN159" s="357"/>
      <c r="GO159" s="357"/>
      <c r="GP159" s="357"/>
      <c r="GQ159" s="365"/>
      <c r="GR159" s="367"/>
    </row>
    <row r="160" spans="1:200" ht="13.5" customHeight="1" x14ac:dyDescent="0.2">
      <c r="A160" s="357"/>
      <c r="B160" s="354"/>
      <c r="C160" s="380"/>
      <c r="D160" s="354"/>
      <c r="E160" s="367"/>
      <c r="F160" s="363"/>
      <c r="G160" s="398"/>
      <c r="H160" s="398"/>
      <c r="I160" s="398"/>
      <c r="J160" s="380"/>
      <c r="K160" s="363"/>
      <c r="L160" s="398"/>
      <c r="M160" s="380"/>
      <c r="N160" s="363"/>
      <c r="O160" s="367"/>
      <c r="P160" s="380"/>
      <c r="Q160" s="357"/>
      <c r="R160" s="355"/>
      <c r="S160" s="357"/>
      <c r="T160" s="359"/>
      <c r="U160" s="367"/>
      <c r="V160" s="357"/>
      <c r="W160" s="354"/>
      <c r="X160" s="367"/>
      <c r="Y160" s="380"/>
      <c r="Z160" s="365"/>
      <c r="AA160" s="365"/>
      <c r="AB160" s="355"/>
      <c r="AC160" s="357"/>
      <c r="AD160" s="357"/>
      <c r="AE160" s="363"/>
      <c r="AF160" s="367"/>
      <c r="AG160" s="357"/>
      <c r="AH160" s="357"/>
      <c r="AI160" s="357"/>
      <c r="AJ160" s="354"/>
      <c r="AK160" s="354"/>
      <c r="AL160" s="354"/>
      <c r="AM160" s="354"/>
      <c r="AN160" s="354"/>
      <c r="AO160" s="354"/>
      <c r="AP160" s="354"/>
      <c r="AQ160" s="357"/>
      <c r="AR160" s="357"/>
      <c r="AS160" s="354"/>
      <c r="AT160" s="380"/>
      <c r="AU160" s="380"/>
      <c r="AV160" s="354"/>
      <c r="AW160" s="354"/>
      <c r="AX160" s="354"/>
      <c r="AY160" s="380"/>
      <c r="AZ160" s="354"/>
      <c r="BA160" s="354"/>
      <c r="BB160" s="357"/>
      <c r="BC160" s="354"/>
      <c r="BD160" s="354"/>
      <c r="BE160" s="357"/>
      <c r="BF160" s="365"/>
      <c r="BG160" s="354"/>
      <c r="BH160" s="354"/>
      <c r="BI160" s="354"/>
      <c r="BJ160" s="354"/>
      <c r="BK160" s="354"/>
      <c r="BL160" s="357"/>
      <c r="BM160" s="354"/>
      <c r="BN160" s="354"/>
      <c r="BO160" s="354"/>
      <c r="BP160" s="354"/>
      <c r="BQ160" s="354"/>
      <c r="BR160" s="354"/>
      <c r="BS160" s="354"/>
      <c r="BT160" s="354"/>
      <c r="BU160" s="380"/>
      <c r="BV160" s="380"/>
      <c r="BW160" s="354"/>
      <c r="BX160" s="354"/>
      <c r="BY160" s="357"/>
      <c r="BZ160" s="357"/>
      <c r="CA160" s="354"/>
      <c r="CB160" s="354"/>
      <c r="CC160" s="354"/>
      <c r="CD160" s="354"/>
      <c r="CE160" s="380"/>
      <c r="CF160" s="381"/>
      <c r="CG160" s="381"/>
      <c r="CH160" s="380"/>
      <c r="CI160" s="354"/>
      <c r="CJ160" s="357"/>
      <c r="CK160" s="354"/>
      <c r="CL160" s="380"/>
      <c r="CM160" s="354"/>
      <c r="CN160" s="354"/>
      <c r="CO160" s="380"/>
      <c r="CP160" s="398"/>
      <c r="CQ160" s="365"/>
      <c r="CR160" s="357"/>
      <c r="CS160" s="357"/>
      <c r="CT160" s="357"/>
      <c r="CU160" s="357"/>
      <c r="CV160" s="380"/>
      <c r="CW160" s="357"/>
      <c r="CX160" s="365"/>
      <c r="CY160" s="380"/>
      <c r="CZ160" s="380"/>
      <c r="DA160" s="380"/>
      <c r="DB160" s="365"/>
      <c r="DC160" s="357"/>
      <c r="DD160" s="380"/>
      <c r="DE160" s="380"/>
      <c r="DF160" s="357"/>
      <c r="DG160" s="357"/>
      <c r="DH160" s="365"/>
      <c r="DI160" s="367"/>
      <c r="DJ160" s="355"/>
      <c r="DK160" s="355"/>
      <c r="DL160" s="354"/>
      <c r="DM160" s="354"/>
      <c r="DN160" s="354"/>
      <c r="DO160" s="354"/>
      <c r="DP160" s="367"/>
      <c r="DQ160" s="365"/>
      <c r="DR160" s="357"/>
      <c r="DS160" s="357"/>
      <c r="DT160" s="357"/>
      <c r="DU160" s="357"/>
      <c r="DV160" s="357"/>
      <c r="DW160" s="357"/>
      <c r="DX160" s="357"/>
      <c r="DY160" s="354"/>
      <c r="DZ160" s="354"/>
      <c r="EA160" s="354"/>
      <c r="EB160" s="354"/>
      <c r="EC160" s="354"/>
      <c r="ED160" s="354"/>
      <c r="EE160" s="354"/>
      <c r="EF160" s="354"/>
      <c r="EG160" s="357"/>
      <c r="EH160" s="357"/>
      <c r="EI160" s="357"/>
      <c r="EJ160" s="356"/>
      <c r="EK160" s="356"/>
      <c r="EL160" s="356"/>
      <c r="EM160" s="357"/>
      <c r="EN160" s="356"/>
      <c r="EO160" s="356"/>
      <c r="EP160" s="365"/>
      <c r="EQ160" s="356"/>
      <c r="ER160" s="356"/>
      <c r="ES160" s="365"/>
      <c r="ET160" s="356"/>
      <c r="EU160" s="355"/>
      <c r="EV160" s="356"/>
      <c r="EW160" s="355"/>
      <c r="EX160" s="354"/>
      <c r="EY160" s="354"/>
      <c r="EZ160" s="355"/>
      <c r="FA160" s="354"/>
      <c r="FB160" s="355"/>
      <c r="FC160" s="355"/>
      <c r="FD160" s="354"/>
      <c r="FE160" s="354"/>
      <c r="FF160" s="365"/>
      <c r="FG160" s="357"/>
      <c r="FH160" s="359"/>
      <c r="FI160" s="359"/>
      <c r="FJ160" s="359"/>
      <c r="FK160" s="365"/>
      <c r="FL160" s="354"/>
      <c r="FM160" s="358"/>
      <c r="FN160" s="357"/>
      <c r="FO160" s="354"/>
      <c r="FP160" s="354"/>
      <c r="FQ160" s="354"/>
      <c r="FR160" s="354"/>
      <c r="FS160" s="354"/>
      <c r="FT160" s="354"/>
      <c r="FU160" s="354"/>
      <c r="FV160" s="354"/>
      <c r="FW160" s="354"/>
      <c r="FX160" s="354"/>
      <c r="FY160" s="354"/>
      <c r="FZ160" s="354"/>
      <c r="GA160" s="357"/>
      <c r="GB160" s="357"/>
      <c r="GC160" s="357"/>
      <c r="GD160" s="357"/>
      <c r="GE160" s="367"/>
      <c r="GF160" s="357"/>
      <c r="GG160" s="367"/>
      <c r="GH160" s="365"/>
      <c r="GI160" s="357"/>
      <c r="GJ160" s="357"/>
      <c r="GK160" s="357"/>
      <c r="GL160" s="380"/>
      <c r="GM160" s="357"/>
      <c r="GN160" s="357"/>
      <c r="GO160" s="365"/>
      <c r="GP160" s="367"/>
      <c r="GQ160" s="365"/>
      <c r="GR160" s="367"/>
    </row>
    <row r="161" spans="1:200" ht="13.5" customHeight="1" x14ac:dyDescent="0.2">
      <c r="A161" s="357"/>
      <c r="B161" s="354"/>
      <c r="C161" s="357"/>
      <c r="D161" s="357"/>
      <c r="E161" s="380"/>
      <c r="F161" s="367"/>
      <c r="G161" s="363"/>
      <c r="H161" s="363"/>
      <c r="I161" s="367"/>
      <c r="J161" s="380"/>
      <c r="K161" s="380"/>
      <c r="L161" s="363"/>
      <c r="M161" s="363"/>
      <c r="N161" s="367"/>
      <c r="O161" s="367"/>
      <c r="P161" s="380"/>
      <c r="Q161" s="367"/>
      <c r="R161" s="367"/>
      <c r="S161" s="357"/>
      <c r="T161" s="359"/>
      <c r="U161" s="380"/>
      <c r="V161" s="357"/>
      <c r="W161" s="354"/>
      <c r="X161" s="367"/>
      <c r="Y161" s="380"/>
      <c r="Z161" s="357"/>
      <c r="AA161" s="357"/>
      <c r="AB161" s="367"/>
      <c r="AC161" s="380"/>
      <c r="AD161" s="367"/>
      <c r="AE161" s="367"/>
      <c r="AF161" s="367"/>
      <c r="AG161" s="357"/>
      <c r="AH161" s="354"/>
      <c r="AI161" s="380"/>
      <c r="AJ161" s="380"/>
      <c r="AK161" s="354"/>
      <c r="AL161" s="354"/>
      <c r="AM161" s="354"/>
      <c r="AN161" s="354"/>
      <c r="AO161" s="354"/>
      <c r="AP161" s="354"/>
      <c r="AQ161" s="354"/>
      <c r="AR161" s="357"/>
      <c r="AS161" s="357"/>
      <c r="AT161" s="367"/>
      <c r="AU161" s="380"/>
      <c r="AV161" s="367"/>
      <c r="AW161" s="354"/>
      <c r="AX161" s="354"/>
      <c r="AY161" s="354"/>
      <c r="AZ161" s="357"/>
      <c r="BA161" s="354"/>
      <c r="BB161" s="357"/>
      <c r="BC161" s="354"/>
      <c r="BD161" s="354"/>
      <c r="BE161" s="357"/>
      <c r="BF161" s="357"/>
      <c r="BG161" s="354"/>
      <c r="BH161" s="357"/>
      <c r="BI161" s="354"/>
      <c r="BJ161" s="354"/>
      <c r="BK161" s="354"/>
      <c r="BL161" s="357"/>
      <c r="BM161" s="354"/>
      <c r="BN161" s="354"/>
      <c r="BO161" s="354"/>
      <c r="BP161" s="354"/>
      <c r="BQ161" s="354"/>
      <c r="BR161" s="354"/>
      <c r="BS161" s="357"/>
      <c r="BT161" s="354"/>
      <c r="BU161" s="380"/>
      <c r="BV161" s="357"/>
      <c r="BW161" s="380"/>
      <c r="BX161" s="354"/>
      <c r="BY161" s="354"/>
      <c r="BZ161" s="357"/>
      <c r="CA161" s="357"/>
      <c r="CB161" s="357"/>
      <c r="CC161" s="357"/>
      <c r="CD161" s="357"/>
      <c r="CE161" s="357"/>
      <c r="CF161" s="380"/>
      <c r="CG161" s="381"/>
      <c r="CH161" s="354"/>
      <c r="CI161" s="354"/>
      <c r="CJ161" s="357"/>
      <c r="CK161" s="354"/>
      <c r="CL161" s="357"/>
      <c r="CM161" s="381"/>
      <c r="CN161" s="381"/>
      <c r="CO161" s="381"/>
      <c r="CP161" s="365"/>
      <c r="CQ161" s="365"/>
      <c r="CR161" s="365"/>
      <c r="CS161" s="367"/>
      <c r="CT161" s="365"/>
      <c r="CU161" s="365"/>
      <c r="CV161" s="357"/>
      <c r="CW161" s="357"/>
      <c r="CX161" s="357"/>
      <c r="CY161" s="357"/>
      <c r="CZ161" s="380"/>
      <c r="DA161" s="357"/>
      <c r="DB161" s="357"/>
      <c r="DC161" s="357"/>
      <c r="DD161" s="357"/>
      <c r="DE161" s="357"/>
      <c r="DF161" s="357"/>
      <c r="DG161" s="365"/>
      <c r="DH161" s="357"/>
      <c r="DI161" s="357"/>
      <c r="DJ161" s="357"/>
      <c r="DK161" s="365"/>
      <c r="DL161" s="365"/>
      <c r="DM161" s="357"/>
      <c r="DN161" s="354"/>
      <c r="DO161" s="357"/>
      <c r="DP161" s="357"/>
      <c r="DQ161" s="365"/>
      <c r="DR161" s="357"/>
      <c r="DS161" s="355"/>
      <c r="DT161" s="355"/>
      <c r="DU161" s="355"/>
      <c r="DV161" s="356"/>
      <c r="DW161" s="354"/>
      <c r="DX161" s="355"/>
      <c r="DY161" s="398"/>
      <c r="DZ161" s="398"/>
      <c r="EA161" s="355"/>
      <c r="EB161" s="355"/>
      <c r="EC161" s="365"/>
      <c r="ED161" s="354"/>
      <c r="EE161" s="357"/>
      <c r="EF161" s="355"/>
      <c r="EG161" s="355"/>
      <c r="EH161" s="357"/>
      <c r="EI161" s="356"/>
      <c r="EJ161" s="356"/>
      <c r="EK161" s="364"/>
      <c r="EL161" s="364"/>
      <c r="EM161" s="356"/>
      <c r="EN161" s="356"/>
      <c r="EO161" s="355"/>
      <c r="EP161" s="356"/>
      <c r="EQ161" s="356"/>
      <c r="ER161" s="356"/>
      <c r="ES161" s="356"/>
      <c r="ET161" s="356"/>
      <c r="EU161" s="356"/>
      <c r="EV161" s="356"/>
      <c r="EW161" s="356"/>
      <c r="EX161" s="354"/>
      <c r="EY161" s="354"/>
      <c r="EZ161" s="355"/>
      <c r="FA161" s="357"/>
      <c r="FB161" s="355"/>
      <c r="FC161" s="355"/>
      <c r="FD161" s="357"/>
      <c r="FE161" s="354"/>
      <c r="FF161" s="367"/>
      <c r="FG161" s="357"/>
      <c r="FH161" s="359"/>
      <c r="FI161" s="358"/>
      <c r="FJ161" s="359"/>
      <c r="FK161" s="357"/>
      <c r="FL161" s="359"/>
      <c r="FM161" s="357"/>
      <c r="FN161" s="365"/>
      <c r="FO161" s="354"/>
      <c r="FP161" s="357"/>
      <c r="FQ161" s="357"/>
      <c r="FR161" s="357"/>
      <c r="FS161" s="357"/>
      <c r="FT161" s="357"/>
      <c r="FU161" s="357"/>
      <c r="FV161" s="354"/>
      <c r="FW161" s="354"/>
      <c r="FX161" s="354"/>
      <c r="FY161" s="354"/>
      <c r="FZ161" s="357"/>
      <c r="GA161" s="357"/>
      <c r="GB161" s="357"/>
      <c r="GC161" s="357"/>
      <c r="GD161" s="357"/>
      <c r="GE161" s="365"/>
      <c r="GF161" s="357"/>
      <c r="GG161" s="355"/>
      <c r="GH161" s="354"/>
      <c r="GI161" s="357"/>
      <c r="GJ161" s="357"/>
      <c r="GK161" s="380"/>
      <c r="GL161" s="357"/>
      <c r="GM161" s="357"/>
      <c r="GN161" s="357"/>
      <c r="GO161" s="357"/>
      <c r="GP161" s="357"/>
      <c r="GQ161" s="380"/>
      <c r="GR161" s="365"/>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19E93-4154-4819-A1B4-4E3D5F035D79}">
  <sheetPr codeName="Sheet12"/>
  <dimension ref="A1:R221"/>
  <sheetViews>
    <sheetView workbookViewId="0"/>
  </sheetViews>
  <sheetFormatPr defaultColWidth="8.85546875" defaultRowHeight="41.25" customHeight="1" x14ac:dyDescent="0.2"/>
  <cols>
    <col min="1" max="1" width="16" customWidth="1"/>
    <col min="2" max="2" width="8.85546875" customWidth="1"/>
    <col min="3" max="3" width="22.140625" customWidth="1"/>
    <col min="4" max="4" width="24.7109375" customWidth="1"/>
    <col min="5" max="5" width="11.28515625" customWidth="1"/>
    <col min="6" max="6" width="11.42578125" customWidth="1"/>
    <col min="7" max="7" width="14" customWidth="1"/>
    <col min="8" max="8" width="15.28515625" customWidth="1"/>
    <col min="9" max="9" width="12.42578125" customWidth="1"/>
    <col min="10" max="10" width="15" customWidth="1"/>
    <col min="11" max="11" width="20" customWidth="1"/>
    <col min="18" max="18" width="46.42578125" customWidth="1"/>
    <col min="19" max="19" width="16.140625" customWidth="1"/>
    <col min="20" max="20" width="17.42578125" customWidth="1"/>
  </cols>
  <sheetData>
    <row r="1" spans="1:18" ht="65.25" customHeight="1" x14ac:dyDescent="0.2">
      <c r="A1" s="24" t="s">
        <v>0</v>
      </c>
      <c r="B1" s="25" t="s">
        <v>1</v>
      </c>
      <c r="C1" s="25" t="s">
        <v>2</v>
      </c>
      <c r="D1" s="25" t="s">
        <v>216</v>
      </c>
      <c r="E1" s="25"/>
      <c r="F1" s="25" t="s">
        <v>272</v>
      </c>
      <c r="G1" t="s">
        <v>215</v>
      </c>
      <c r="H1" s="25" t="s">
        <v>261</v>
      </c>
      <c r="I1" s="25" t="s">
        <v>262</v>
      </c>
      <c r="J1" s="25" t="s">
        <v>3012</v>
      </c>
      <c r="K1" s="25" t="s">
        <v>3013</v>
      </c>
      <c r="L1" s="25" t="s">
        <v>3014</v>
      </c>
      <c r="M1" s="25" t="s">
        <v>1</v>
      </c>
      <c r="R1" s="296" t="s">
        <v>265</v>
      </c>
    </row>
    <row r="2" spans="1:18" ht="41.25" customHeight="1" x14ac:dyDescent="0.2">
      <c r="A2" s="81" t="s">
        <v>457</v>
      </c>
      <c r="B2" s="29">
        <v>255</v>
      </c>
      <c r="C2" s="29" t="s">
        <v>6</v>
      </c>
      <c r="D2" s="52"/>
      <c r="E2" s="32">
        <f>COUNTIF($A$2:$A$220,A2)</f>
        <v>1</v>
      </c>
      <c r="F2" t="s">
        <v>3198</v>
      </c>
      <c r="G2" t="s">
        <v>208</v>
      </c>
      <c r="H2" t="s">
        <v>3197</v>
      </c>
      <c r="I2">
        <v>255</v>
      </c>
      <c r="J2" t="s">
        <v>3199</v>
      </c>
      <c r="K2">
        <v>0</v>
      </c>
      <c r="L2">
        <v>100</v>
      </c>
      <c r="M2">
        <v>100</v>
      </c>
    </row>
    <row r="3" spans="1:18" ht="41.25" customHeight="1" x14ac:dyDescent="0.2">
      <c r="A3" s="30" t="s">
        <v>456</v>
      </c>
      <c r="B3" s="29">
        <v>17919</v>
      </c>
      <c r="C3" s="29" t="s">
        <v>7</v>
      </c>
      <c r="D3" s="189"/>
      <c r="E3" s="32">
        <f t="shared" ref="E3:E66" si="0">COUNTIF($A$2:$A$220,A3)</f>
        <v>1</v>
      </c>
      <c r="F3" t="s">
        <v>3201</v>
      </c>
      <c r="G3" t="s">
        <v>209</v>
      </c>
      <c r="H3" t="s">
        <v>3200</v>
      </c>
      <c r="I3">
        <v>264.17041015625</v>
      </c>
      <c r="J3" t="s">
        <v>3202</v>
      </c>
      <c r="K3">
        <v>16</v>
      </c>
      <c r="L3">
        <v>100</v>
      </c>
      <c r="M3">
        <v>100</v>
      </c>
    </row>
    <row r="4" spans="1:18" ht="41.25" customHeight="1" x14ac:dyDescent="0.2">
      <c r="A4" s="25" t="s">
        <v>14</v>
      </c>
      <c r="B4" s="29">
        <v>36095</v>
      </c>
      <c r="C4" s="29" t="s">
        <v>15</v>
      </c>
      <c r="D4" s="79"/>
      <c r="E4" s="32">
        <f t="shared" si="0"/>
        <v>1</v>
      </c>
      <c r="F4" t="s">
        <v>3204</v>
      </c>
      <c r="G4" t="s">
        <v>3106</v>
      </c>
      <c r="H4" t="s">
        <v>3203</v>
      </c>
      <c r="I4">
        <v>290.90377807617188</v>
      </c>
      <c r="J4" t="s">
        <v>3205</v>
      </c>
      <c r="K4">
        <v>33</v>
      </c>
      <c r="L4">
        <v>100</v>
      </c>
      <c r="M4">
        <v>100</v>
      </c>
    </row>
    <row r="5" spans="1:18" ht="41.25" customHeight="1" x14ac:dyDescent="0.2">
      <c r="A5" s="25" t="s">
        <v>16</v>
      </c>
      <c r="B5" s="29">
        <v>42495</v>
      </c>
      <c r="C5" s="29" t="s">
        <v>17</v>
      </c>
      <c r="D5" s="187"/>
      <c r="E5" s="32">
        <f t="shared" si="0"/>
        <v>1</v>
      </c>
      <c r="F5" t="s">
        <v>3207</v>
      </c>
      <c r="G5" t="s">
        <v>3106</v>
      </c>
      <c r="H5" t="s">
        <v>3206</v>
      </c>
      <c r="I5">
        <v>303.72683715820313</v>
      </c>
      <c r="J5" t="s">
        <v>3208</v>
      </c>
      <c r="K5">
        <v>39</v>
      </c>
      <c r="L5">
        <v>100</v>
      </c>
      <c r="M5">
        <v>100</v>
      </c>
      <c r="N5" s="38"/>
    </row>
    <row r="6" spans="1:18" ht="41.25" customHeight="1" x14ac:dyDescent="0.2">
      <c r="A6" s="30" t="s">
        <v>423</v>
      </c>
      <c r="B6" s="29">
        <v>55295</v>
      </c>
      <c r="C6" s="29" t="s">
        <v>18</v>
      </c>
      <c r="D6" s="115"/>
      <c r="E6" s="32">
        <f t="shared" si="0"/>
        <v>1</v>
      </c>
      <c r="F6" t="s">
        <v>3210</v>
      </c>
      <c r="G6" t="s">
        <v>3107</v>
      </c>
      <c r="H6" t="s">
        <v>3209</v>
      </c>
      <c r="I6">
        <v>333.54159545898438</v>
      </c>
      <c r="J6" t="s">
        <v>3211</v>
      </c>
      <c r="K6">
        <v>51</v>
      </c>
      <c r="L6">
        <v>100</v>
      </c>
      <c r="M6">
        <v>100</v>
      </c>
    </row>
    <row r="7" spans="1:18" ht="41.25" customHeight="1" x14ac:dyDescent="0.2">
      <c r="A7" s="25" t="s">
        <v>24</v>
      </c>
      <c r="B7" s="29">
        <v>65535</v>
      </c>
      <c r="C7" s="29" t="s">
        <v>25</v>
      </c>
      <c r="D7" s="247"/>
      <c r="E7" s="32">
        <f t="shared" si="0"/>
        <v>1</v>
      </c>
      <c r="F7" t="s">
        <v>3213</v>
      </c>
      <c r="G7" t="s">
        <v>3108</v>
      </c>
      <c r="H7" t="s">
        <v>3212</v>
      </c>
      <c r="I7">
        <v>360.62445068359375</v>
      </c>
      <c r="J7" t="s">
        <v>3214</v>
      </c>
      <c r="K7">
        <v>60</v>
      </c>
      <c r="L7">
        <v>100</v>
      </c>
      <c r="M7">
        <v>100</v>
      </c>
    </row>
    <row r="8" spans="1:18" ht="41.25" customHeight="1" x14ac:dyDescent="0.2">
      <c r="A8" s="25" t="s">
        <v>22</v>
      </c>
      <c r="B8" s="29">
        <v>65407</v>
      </c>
      <c r="C8" s="29" t="s">
        <v>23</v>
      </c>
      <c r="D8" s="63"/>
      <c r="E8" s="32">
        <f t="shared" si="0"/>
        <v>1</v>
      </c>
      <c r="F8" t="s">
        <v>3216</v>
      </c>
      <c r="G8" s="36" t="s">
        <v>210</v>
      </c>
      <c r="H8" t="s">
        <v>3215</v>
      </c>
      <c r="I8">
        <v>284.87539672851563</v>
      </c>
      <c r="J8" t="s">
        <v>3217</v>
      </c>
      <c r="K8">
        <v>90</v>
      </c>
      <c r="L8">
        <v>100</v>
      </c>
      <c r="M8">
        <v>100</v>
      </c>
    </row>
    <row r="9" spans="1:18" ht="41.25" customHeight="1" x14ac:dyDescent="0.2">
      <c r="A9" s="30" t="s">
        <v>498</v>
      </c>
      <c r="B9" s="29">
        <v>65280</v>
      </c>
      <c r="C9" s="29" t="s">
        <v>21</v>
      </c>
      <c r="D9" s="153"/>
      <c r="E9" s="32">
        <f t="shared" si="0"/>
        <v>1</v>
      </c>
      <c r="F9" t="s">
        <v>3219</v>
      </c>
      <c r="G9" s="102" t="s">
        <v>210</v>
      </c>
      <c r="H9" t="s">
        <v>3218</v>
      </c>
      <c r="I9">
        <v>255</v>
      </c>
      <c r="J9" t="s">
        <v>3220</v>
      </c>
      <c r="K9">
        <v>120</v>
      </c>
      <c r="L9">
        <v>100</v>
      </c>
      <c r="M9">
        <v>100</v>
      </c>
      <c r="N9" s="36"/>
    </row>
    <row r="10" spans="1:18" ht="41.25" customHeight="1" x14ac:dyDescent="0.2">
      <c r="A10" s="25" t="s">
        <v>69</v>
      </c>
      <c r="B10" s="29">
        <v>8388352</v>
      </c>
      <c r="C10" s="29" t="s">
        <v>70</v>
      </c>
      <c r="D10" s="230"/>
      <c r="E10" s="32">
        <f t="shared" si="0"/>
        <v>1</v>
      </c>
      <c r="F10" t="s">
        <v>3222</v>
      </c>
      <c r="G10" s="36" t="s">
        <v>210</v>
      </c>
      <c r="H10" t="s">
        <v>3221</v>
      </c>
      <c r="I10">
        <v>284.87539672851563</v>
      </c>
      <c r="J10" t="s">
        <v>3223</v>
      </c>
      <c r="K10">
        <v>150</v>
      </c>
      <c r="L10">
        <v>100</v>
      </c>
      <c r="M10">
        <v>100</v>
      </c>
    </row>
    <row r="11" spans="1:18" ht="41.25" customHeight="1" x14ac:dyDescent="0.2">
      <c r="A11" s="25" t="s">
        <v>199</v>
      </c>
      <c r="B11" s="29">
        <v>16776960</v>
      </c>
      <c r="C11" s="29" t="s">
        <v>200</v>
      </c>
      <c r="D11" s="37"/>
      <c r="E11" s="32">
        <f t="shared" si="0"/>
        <v>1</v>
      </c>
      <c r="F11" t="s">
        <v>3225</v>
      </c>
      <c r="G11" t="s">
        <v>212</v>
      </c>
      <c r="H11" t="s">
        <v>3224</v>
      </c>
      <c r="I11">
        <v>360.62445068359375</v>
      </c>
      <c r="J11" t="s">
        <v>3226</v>
      </c>
      <c r="K11">
        <v>180</v>
      </c>
      <c r="L11">
        <v>100</v>
      </c>
      <c r="M11">
        <v>100</v>
      </c>
    </row>
    <row r="12" spans="1:18" ht="41.25" customHeight="1" x14ac:dyDescent="0.2">
      <c r="A12" s="30" t="s">
        <v>471</v>
      </c>
      <c r="B12" s="29">
        <v>16760576</v>
      </c>
      <c r="C12" s="30" t="s">
        <v>304</v>
      </c>
      <c r="D12" s="105"/>
      <c r="E12" s="32">
        <f t="shared" si="0"/>
        <v>1</v>
      </c>
      <c r="F12" t="s">
        <v>3228</v>
      </c>
      <c r="G12" t="s">
        <v>212</v>
      </c>
      <c r="H12" t="s">
        <v>3227</v>
      </c>
      <c r="I12">
        <v>318.60006713867188</v>
      </c>
      <c r="J12" t="s">
        <v>3229</v>
      </c>
      <c r="K12">
        <v>195</v>
      </c>
      <c r="L12">
        <v>100</v>
      </c>
      <c r="M12">
        <v>100</v>
      </c>
    </row>
    <row r="13" spans="1:18" ht="41.25" customHeight="1" x14ac:dyDescent="0.2">
      <c r="A13" s="30" t="s">
        <v>466</v>
      </c>
      <c r="B13" s="29">
        <v>16711680</v>
      </c>
      <c r="C13" s="45" t="s">
        <v>194</v>
      </c>
      <c r="D13" s="46"/>
      <c r="E13" s="32">
        <f t="shared" si="0"/>
        <v>1</v>
      </c>
      <c r="F13" t="s">
        <v>3231</v>
      </c>
      <c r="G13" t="s">
        <v>212</v>
      </c>
      <c r="H13" t="s">
        <v>3230</v>
      </c>
      <c r="I13">
        <v>255</v>
      </c>
      <c r="J13" t="s">
        <v>3232</v>
      </c>
      <c r="K13">
        <v>240</v>
      </c>
      <c r="L13">
        <v>100</v>
      </c>
      <c r="M13">
        <v>100</v>
      </c>
    </row>
    <row r="14" spans="1:18" ht="41.25" customHeight="1" x14ac:dyDescent="0.2">
      <c r="A14" s="25" t="s">
        <v>195</v>
      </c>
      <c r="B14" s="29">
        <v>16711935</v>
      </c>
      <c r="C14" s="29" t="s">
        <v>196</v>
      </c>
      <c r="D14" s="112"/>
      <c r="E14" s="32">
        <f t="shared" si="0"/>
        <v>1</v>
      </c>
      <c r="F14" t="s">
        <v>3234</v>
      </c>
      <c r="G14" t="s">
        <v>3109</v>
      </c>
      <c r="H14" t="s">
        <v>3233</v>
      </c>
      <c r="I14">
        <v>360.62445068359375</v>
      </c>
      <c r="J14" t="s">
        <v>3235</v>
      </c>
      <c r="K14">
        <v>300</v>
      </c>
      <c r="L14">
        <v>100</v>
      </c>
      <c r="M14">
        <v>100</v>
      </c>
    </row>
    <row r="15" spans="1:18" ht="41.25" customHeight="1" x14ac:dyDescent="0.2">
      <c r="A15" s="25" t="s">
        <v>19</v>
      </c>
      <c r="B15" s="29">
        <v>64636</v>
      </c>
      <c r="C15" s="29" t="s">
        <v>20</v>
      </c>
      <c r="D15" s="132"/>
      <c r="E15" s="32">
        <f t="shared" si="0"/>
        <v>1</v>
      </c>
      <c r="F15" t="s">
        <v>3237</v>
      </c>
      <c r="G15" s="36" t="s">
        <v>210</v>
      </c>
      <c r="H15" t="s">
        <v>3236</v>
      </c>
      <c r="I15">
        <v>280.8558349609375</v>
      </c>
      <c r="J15" t="s">
        <v>3238</v>
      </c>
      <c r="K15">
        <v>90</v>
      </c>
      <c r="L15">
        <v>100</v>
      </c>
      <c r="M15">
        <v>98.800003051757813</v>
      </c>
    </row>
    <row r="16" spans="1:18" ht="41.25" customHeight="1" x14ac:dyDescent="0.2">
      <c r="A16" s="25" t="s">
        <v>105</v>
      </c>
      <c r="B16" s="29">
        <v>10156544</v>
      </c>
      <c r="C16" s="29" t="s">
        <v>106</v>
      </c>
      <c r="D16" s="166"/>
      <c r="E16" s="32">
        <f t="shared" si="0"/>
        <v>1</v>
      </c>
      <c r="F16" t="s">
        <v>3240</v>
      </c>
      <c r="G16" s="36" t="s">
        <v>210</v>
      </c>
      <c r="H16" t="s">
        <v>3239</v>
      </c>
      <c r="I16">
        <v>293.6256103515625</v>
      </c>
      <c r="J16" t="s">
        <v>3241</v>
      </c>
      <c r="K16">
        <v>157</v>
      </c>
      <c r="L16">
        <v>100</v>
      </c>
      <c r="M16">
        <v>98</v>
      </c>
    </row>
    <row r="17" spans="1:13" ht="41.25" customHeight="1" x14ac:dyDescent="0.2">
      <c r="A17" s="25" t="s">
        <v>141</v>
      </c>
      <c r="B17" s="29">
        <v>13828244</v>
      </c>
      <c r="C17" s="29" t="s">
        <v>142</v>
      </c>
      <c r="D17" s="88"/>
      <c r="E17" s="32">
        <f t="shared" si="0"/>
        <v>1</v>
      </c>
      <c r="F17" t="s">
        <v>3243</v>
      </c>
      <c r="G17" t="s">
        <v>3109</v>
      </c>
      <c r="H17" t="s">
        <v>3242</v>
      </c>
      <c r="I17">
        <v>257.73046875</v>
      </c>
      <c r="J17" t="s">
        <v>3244</v>
      </c>
      <c r="K17">
        <v>282</v>
      </c>
      <c r="L17">
        <v>100</v>
      </c>
      <c r="M17">
        <v>82.699996948242188</v>
      </c>
    </row>
    <row r="18" spans="1:13" ht="41.25" customHeight="1" x14ac:dyDescent="0.2">
      <c r="A18" s="25" t="s">
        <v>138</v>
      </c>
      <c r="B18" s="29">
        <v>13749760</v>
      </c>
      <c r="C18" s="29" t="s">
        <v>139</v>
      </c>
      <c r="D18" s="87"/>
      <c r="E18" s="32">
        <f t="shared" si="0"/>
        <v>1</v>
      </c>
      <c r="F18" t="s">
        <v>3246</v>
      </c>
      <c r="G18" t="s">
        <v>212</v>
      </c>
      <c r="H18" t="s">
        <v>3245</v>
      </c>
      <c r="I18">
        <v>293.45697021484375</v>
      </c>
      <c r="J18" t="s">
        <v>3247</v>
      </c>
      <c r="K18">
        <v>181</v>
      </c>
      <c r="L18">
        <v>100</v>
      </c>
      <c r="M18">
        <v>82</v>
      </c>
    </row>
    <row r="19" spans="1:13" ht="41.25" customHeight="1" x14ac:dyDescent="0.2">
      <c r="A19" s="30" t="s">
        <v>477</v>
      </c>
      <c r="B19" s="29">
        <v>13434880</v>
      </c>
      <c r="C19" s="30" t="s">
        <v>309</v>
      </c>
      <c r="D19" s="161"/>
      <c r="E19" s="32">
        <f t="shared" si="0"/>
        <v>1</v>
      </c>
      <c r="F19" t="s">
        <v>3249</v>
      </c>
      <c r="G19" t="s">
        <v>212</v>
      </c>
      <c r="H19" t="s">
        <v>3248</v>
      </c>
      <c r="I19">
        <v>205</v>
      </c>
      <c r="J19" t="s">
        <v>3250</v>
      </c>
      <c r="K19">
        <v>240</v>
      </c>
      <c r="L19">
        <v>100</v>
      </c>
      <c r="M19">
        <v>80.400001525878906</v>
      </c>
    </row>
    <row r="20" spans="1:13" ht="41.25" customHeight="1" x14ac:dyDescent="0.2">
      <c r="A20" s="81" t="s">
        <v>452</v>
      </c>
      <c r="B20" s="29">
        <v>139</v>
      </c>
      <c r="C20" s="29" t="s">
        <v>5</v>
      </c>
      <c r="D20" s="82"/>
      <c r="E20" s="32">
        <f t="shared" si="0"/>
        <v>1</v>
      </c>
      <c r="F20" t="s">
        <v>3252</v>
      </c>
      <c r="G20" t="s">
        <v>208</v>
      </c>
      <c r="H20" t="s">
        <v>3251</v>
      </c>
      <c r="I20">
        <v>139</v>
      </c>
      <c r="J20" t="s">
        <v>3253</v>
      </c>
      <c r="K20">
        <v>0</v>
      </c>
      <c r="L20">
        <v>100</v>
      </c>
      <c r="M20">
        <v>54.5</v>
      </c>
    </row>
    <row r="21" spans="1:13" ht="41.25" customHeight="1" x14ac:dyDescent="0.2">
      <c r="A21" s="25" t="s">
        <v>86</v>
      </c>
      <c r="B21" s="29">
        <v>9145088</v>
      </c>
      <c r="C21" s="29" t="s">
        <v>87</v>
      </c>
      <c r="D21" s="72"/>
      <c r="E21" s="32">
        <f t="shared" si="0"/>
        <v>1</v>
      </c>
      <c r="F21" t="s">
        <v>3255</v>
      </c>
      <c r="G21" t="s">
        <v>212</v>
      </c>
      <c r="H21" t="s">
        <v>3254</v>
      </c>
      <c r="I21">
        <v>196.57568359375</v>
      </c>
      <c r="J21" t="s">
        <v>3256</v>
      </c>
      <c r="K21">
        <v>180</v>
      </c>
      <c r="L21">
        <v>100</v>
      </c>
      <c r="M21">
        <v>54.5</v>
      </c>
    </row>
    <row r="22" spans="1:13" ht="41.25" customHeight="1" x14ac:dyDescent="0.2">
      <c r="A22" s="25" t="s">
        <v>88</v>
      </c>
      <c r="B22" s="29">
        <v>9145088</v>
      </c>
      <c r="C22" s="29" t="s">
        <v>89</v>
      </c>
      <c r="D22" s="72"/>
      <c r="E22" s="32">
        <f t="shared" si="0"/>
        <v>1</v>
      </c>
      <c r="F22" t="s">
        <v>3255</v>
      </c>
      <c r="G22" t="s">
        <v>212</v>
      </c>
      <c r="H22" t="s">
        <v>3254</v>
      </c>
      <c r="I22">
        <v>196.57568359375</v>
      </c>
      <c r="J22" t="s">
        <v>3256</v>
      </c>
      <c r="K22">
        <v>180</v>
      </c>
      <c r="L22">
        <v>100</v>
      </c>
      <c r="M22">
        <v>54.5</v>
      </c>
    </row>
    <row r="23" spans="1:13" ht="41.25" customHeight="1" x14ac:dyDescent="0.2">
      <c r="A23" s="30" t="s">
        <v>469</v>
      </c>
      <c r="B23" s="29">
        <v>9109504</v>
      </c>
      <c r="C23" s="30" t="s">
        <v>302</v>
      </c>
      <c r="D23" s="71"/>
      <c r="E23" s="32">
        <f t="shared" si="0"/>
        <v>1</v>
      </c>
      <c r="F23" t="s">
        <v>3258</v>
      </c>
      <c r="G23" t="s">
        <v>212</v>
      </c>
      <c r="H23" t="s">
        <v>3257</v>
      </c>
      <c r="I23">
        <v>139</v>
      </c>
      <c r="J23" t="s">
        <v>3259</v>
      </c>
      <c r="K23">
        <v>240</v>
      </c>
      <c r="L23">
        <v>100</v>
      </c>
      <c r="M23">
        <v>54.5</v>
      </c>
    </row>
    <row r="24" spans="1:13" ht="41.25" customHeight="1" x14ac:dyDescent="0.2">
      <c r="A24" s="25" t="s">
        <v>84</v>
      </c>
      <c r="B24" s="29">
        <v>9109643</v>
      </c>
      <c r="C24" s="29" t="s">
        <v>85</v>
      </c>
      <c r="D24" s="77"/>
      <c r="E24" s="32">
        <f t="shared" si="0"/>
        <v>1</v>
      </c>
      <c r="F24" t="s">
        <v>3261</v>
      </c>
      <c r="G24" t="s">
        <v>3109</v>
      </c>
      <c r="H24" t="s">
        <v>3260</v>
      </c>
      <c r="I24">
        <v>196.57568359375</v>
      </c>
      <c r="J24" t="s">
        <v>3262</v>
      </c>
      <c r="K24">
        <v>300</v>
      </c>
      <c r="L24">
        <v>100</v>
      </c>
      <c r="M24">
        <v>54.5</v>
      </c>
    </row>
    <row r="25" spans="1:13" ht="41.25" customHeight="1" x14ac:dyDescent="0.2">
      <c r="A25" s="25" t="s">
        <v>80</v>
      </c>
      <c r="B25" s="29">
        <v>8519755</v>
      </c>
      <c r="C25" s="29" t="s">
        <v>81</v>
      </c>
      <c r="D25" s="125"/>
      <c r="E25" s="32">
        <f t="shared" si="0"/>
        <v>1</v>
      </c>
      <c r="F25" t="s">
        <v>3264</v>
      </c>
      <c r="G25" t="s">
        <v>213</v>
      </c>
      <c r="H25" t="s">
        <v>3263</v>
      </c>
      <c r="I25">
        <v>150.08331298828125</v>
      </c>
      <c r="J25" t="s">
        <v>3265</v>
      </c>
      <c r="K25">
        <v>275</v>
      </c>
      <c r="L25">
        <v>100</v>
      </c>
      <c r="M25">
        <v>51</v>
      </c>
    </row>
    <row r="26" spans="1:13" ht="41.25" customHeight="1" x14ac:dyDescent="0.2">
      <c r="A26" s="25" t="s">
        <v>3</v>
      </c>
      <c r="B26" s="29">
        <v>128</v>
      </c>
      <c r="C26" s="29" t="s">
        <v>4</v>
      </c>
      <c r="D26" s="159"/>
      <c r="E26" s="32">
        <f t="shared" si="0"/>
        <v>1</v>
      </c>
      <c r="F26" t="s">
        <v>3266</v>
      </c>
      <c r="G26" t="s">
        <v>208</v>
      </c>
      <c r="H26">
        <v>80</v>
      </c>
      <c r="I26">
        <v>128</v>
      </c>
      <c r="J26" t="s">
        <v>3267</v>
      </c>
      <c r="K26">
        <v>0</v>
      </c>
      <c r="L26">
        <v>100</v>
      </c>
      <c r="M26">
        <v>50.200000762939453</v>
      </c>
    </row>
    <row r="27" spans="1:13" ht="41.25" customHeight="1" x14ac:dyDescent="0.2">
      <c r="A27" s="25" t="s">
        <v>12</v>
      </c>
      <c r="B27" s="29">
        <v>32896</v>
      </c>
      <c r="C27" s="29" t="s">
        <v>13</v>
      </c>
      <c r="D27" s="185"/>
      <c r="E27" s="32">
        <f t="shared" si="0"/>
        <v>1</v>
      </c>
      <c r="F27" t="s">
        <v>3268</v>
      </c>
      <c r="G27" t="s">
        <v>3108</v>
      </c>
      <c r="H27">
        <v>8080</v>
      </c>
      <c r="I27">
        <v>181.01933288574219</v>
      </c>
      <c r="J27" t="s">
        <v>3269</v>
      </c>
      <c r="K27">
        <v>60</v>
      </c>
      <c r="L27">
        <v>100</v>
      </c>
      <c r="M27">
        <v>50.200000762939453</v>
      </c>
    </row>
    <row r="28" spans="1:13" ht="41.25" customHeight="1" x14ac:dyDescent="0.2">
      <c r="A28" s="25" t="s">
        <v>10</v>
      </c>
      <c r="B28" s="29">
        <v>32768</v>
      </c>
      <c r="C28" s="29" t="s">
        <v>11</v>
      </c>
      <c r="D28" s="118"/>
      <c r="E28" s="32">
        <f t="shared" si="0"/>
        <v>1</v>
      </c>
      <c r="F28" t="s">
        <v>3270</v>
      </c>
      <c r="G28" s="102" t="s">
        <v>210</v>
      </c>
      <c r="H28">
        <v>8000</v>
      </c>
      <c r="I28">
        <v>128</v>
      </c>
      <c r="J28" t="s">
        <v>3271</v>
      </c>
      <c r="K28">
        <v>120</v>
      </c>
      <c r="L28">
        <v>100</v>
      </c>
      <c r="M28">
        <v>50.200000762939453</v>
      </c>
    </row>
    <row r="29" spans="1:13" ht="41.25" customHeight="1" x14ac:dyDescent="0.2">
      <c r="A29" s="30" t="s">
        <v>487</v>
      </c>
      <c r="B29" s="29">
        <v>8421376</v>
      </c>
      <c r="C29" s="29" t="s">
        <v>74</v>
      </c>
      <c r="D29" s="236"/>
      <c r="E29" s="32">
        <f t="shared" si="0"/>
        <v>1</v>
      </c>
      <c r="F29" t="s">
        <v>3272</v>
      </c>
      <c r="G29" t="s">
        <v>212</v>
      </c>
      <c r="H29">
        <v>808000</v>
      </c>
      <c r="I29">
        <v>181.01933288574219</v>
      </c>
      <c r="J29" t="s">
        <v>3273</v>
      </c>
      <c r="K29">
        <v>180</v>
      </c>
      <c r="L29">
        <v>100</v>
      </c>
      <c r="M29">
        <v>50.200000762939453</v>
      </c>
    </row>
    <row r="30" spans="1:13" ht="41.25" customHeight="1" x14ac:dyDescent="0.2">
      <c r="A30" s="25" t="s">
        <v>71</v>
      </c>
      <c r="B30" s="29">
        <v>8388608</v>
      </c>
      <c r="C30" s="29" t="s">
        <v>72</v>
      </c>
      <c r="D30" s="181"/>
      <c r="E30" s="32">
        <f t="shared" si="0"/>
        <v>1</v>
      </c>
      <c r="F30" t="s">
        <v>3274</v>
      </c>
      <c r="G30" t="s">
        <v>212</v>
      </c>
      <c r="H30">
        <v>800000</v>
      </c>
      <c r="I30">
        <v>128</v>
      </c>
      <c r="J30" t="s">
        <v>3275</v>
      </c>
      <c r="K30">
        <v>240</v>
      </c>
      <c r="L30">
        <v>100</v>
      </c>
      <c r="M30">
        <v>50.200000762939453</v>
      </c>
    </row>
    <row r="31" spans="1:13" ht="41.25" customHeight="1" x14ac:dyDescent="0.2">
      <c r="A31" s="30" t="s">
        <v>480</v>
      </c>
      <c r="B31" s="29">
        <v>8388608</v>
      </c>
      <c r="C31" s="30" t="s">
        <v>312</v>
      </c>
      <c r="D31" s="181"/>
      <c r="E31" s="32">
        <f t="shared" si="0"/>
        <v>1</v>
      </c>
      <c r="F31" t="s">
        <v>3274</v>
      </c>
      <c r="G31" t="s">
        <v>212</v>
      </c>
      <c r="H31">
        <v>800000</v>
      </c>
      <c r="I31">
        <v>128</v>
      </c>
      <c r="J31" t="s">
        <v>3275</v>
      </c>
      <c r="K31">
        <v>240</v>
      </c>
      <c r="L31">
        <v>100</v>
      </c>
      <c r="M31">
        <v>50.200000762939453</v>
      </c>
    </row>
    <row r="32" spans="1:13" ht="41.25" customHeight="1" x14ac:dyDescent="0.2">
      <c r="A32" s="30" t="s">
        <v>463</v>
      </c>
      <c r="B32" s="29">
        <v>8388736</v>
      </c>
      <c r="C32" s="29" t="s">
        <v>73</v>
      </c>
      <c r="D32" s="210"/>
      <c r="E32" s="32">
        <f t="shared" si="0"/>
        <v>1</v>
      </c>
      <c r="F32" t="s">
        <v>3276</v>
      </c>
      <c r="G32" t="s">
        <v>3109</v>
      </c>
      <c r="H32">
        <v>800080</v>
      </c>
      <c r="I32">
        <v>181.01933288574219</v>
      </c>
      <c r="J32" t="s">
        <v>3277</v>
      </c>
      <c r="K32">
        <v>300</v>
      </c>
      <c r="L32">
        <v>100</v>
      </c>
      <c r="M32">
        <v>50.200000762939453</v>
      </c>
    </row>
    <row r="33" spans="1:13" ht="41.25" customHeight="1" x14ac:dyDescent="0.2">
      <c r="A33" s="25" t="s">
        <v>8</v>
      </c>
      <c r="B33" s="29">
        <v>25600</v>
      </c>
      <c r="C33" s="29" t="s">
        <v>9</v>
      </c>
      <c r="D33" s="75"/>
      <c r="E33" s="32">
        <f t="shared" si="0"/>
        <v>1</v>
      </c>
      <c r="F33" t="s">
        <v>3278</v>
      </c>
      <c r="G33" s="102" t="s">
        <v>210</v>
      </c>
      <c r="H33">
        <v>6400</v>
      </c>
      <c r="I33">
        <v>100</v>
      </c>
      <c r="J33" t="s">
        <v>3279</v>
      </c>
      <c r="K33">
        <v>120</v>
      </c>
      <c r="L33">
        <v>100</v>
      </c>
      <c r="M33">
        <v>39.200000762939453</v>
      </c>
    </row>
    <row r="34" spans="1:13" ht="41.25" customHeight="1" x14ac:dyDescent="0.2">
      <c r="A34" s="25" t="s">
        <v>277</v>
      </c>
      <c r="B34" s="29">
        <v>6465</v>
      </c>
      <c r="C34" s="29" t="s">
        <v>266</v>
      </c>
      <c r="D34" s="90"/>
      <c r="E34" s="32">
        <f t="shared" si="0"/>
        <v>1</v>
      </c>
      <c r="F34" t="s">
        <v>3280</v>
      </c>
      <c r="G34" t="s">
        <v>3106</v>
      </c>
      <c r="H34">
        <v>1941</v>
      </c>
      <c r="I34">
        <v>69.641944885253906</v>
      </c>
      <c r="J34" t="s">
        <v>3281</v>
      </c>
      <c r="K34">
        <v>23</v>
      </c>
      <c r="L34">
        <v>100</v>
      </c>
      <c r="M34">
        <v>25.5</v>
      </c>
    </row>
    <row r="35" spans="1:13" ht="41.25" customHeight="1" x14ac:dyDescent="0.2">
      <c r="A35" s="30" t="s">
        <v>422</v>
      </c>
      <c r="B35" s="29">
        <v>755384</v>
      </c>
      <c r="C35" s="29" t="s">
        <v>26</v>
      </c>
      <c r="D35" s="73"/>
      <c r="E35" s="32">
        <f t="shared" si="0"/>
        <v>1</v>
      </c>
      <c r="F35" t="s">
        <v>3283</v>
      </c>
      <c r="G35" t="s">
        <v>3107</v>
      </c>
      <c r="H35" t="s">
        <v>3282</v>
      </c>
      <c r="I35">
        <v>227.88813781738281</v>
      </c>
      <c r="J35" t="s">
        <v>3284</v>
      </c>
      <c r="K35">
        <v>43</v>
      </c>
      <c r="L35">
        <v>94</v>
      </c>
      <c r="M35">
        <v>72.199996948242188</v>
      </c>
    </row>
    <row r="36" spans="1:13" ht="41.25" customHeight="1" x14ac:dyDescent="0.2">
      <c r="A36" s="28" t="s">
        <v>446</v>
      </c>
      <c r="B36" s="29">
        <v>9639167</v>
      </c>
      <c r="C36" s="29" t="s">
        <v>100</v>
      </c>
      <c r="D36" s="104"/>
      <c r="E36" s="32">
        <f t="shared" si="0"/>
        <v>1</v>
      </c>
      <c r="F36" t="s">
        <v>3286</v>
      </c>
      <c r="G36" t="s">
        <v>214</v>
      </c>
      <c r="H36" t="s">
        <v>3285</v>
      </c>
      <c r="I36">
        <v>295.0152587890625</v>
      </c>
      <c r="J36" t="s">
        <v>3287</v>
      </c>
      <c r="K36">
        <v>328</v>
      </c>
      <c r="L36">
        <v>92.199996948242188</v>
      </c>
      <c r="M36">
        <v>100</v>
      </c>
    </row>
    <row r="37" spans="1:13" ht="41.25" customHeight="1" x14ac:dyDescent="0.2">
      <c r="A37" s="25" t="s">
        <v>236</v>
      </c>
      <c r="B37" s="29">
        <v>202020</v>
      </c>
      <c r="C37" s="29" t="s">
        <v>237</v>
      </c>
      <c r="D37" s="212"/>
      <c r="E37" s="32">
        <f t="shared" si="0"/>
        <v>1</v>
      </c>
      <c r="F37" t="s">
        <v>3288</v>
      </c>
      <c r="G37" t="s">
        <v>3106</v>
      </c>
      <c r="H37">
        <v>31524</v>
      </c>
      <c r="I37">
        <v>41.785163879394531</v>
      </c>
      <c r="J37" t="s">
        <v>3289</v>
      </c>
      <c r="K37">
        <v>33</v>
      </c>
      <c r="L37">
        <v>91.699996948242188</v>
      </c>
      <c r="M37">
        <v>14.100000381469727</v>
      </c>
    </row>
    <row r="38" spans="1:13" ht="41.25" customHeight="1" x14ac:dyDescent="0.2">
      <c r="A38" s="25" t="s">
        <v>43</v>
      </c>
      <c r="B38" s="29">
        <v>3937500</v>
      </c>
      <c r="C38" s="29" t="s">
        <v>44</v>
      </c>
      <c r="D38" s="70"/>
      <c r="E38" s="32">
        <f t="shared" si="0"/>
        <v>1</v>
      </c>
      <c r="F38" t="s">
        <v>3291</v>
      </c>
      <c r="G38" t="s">
        <v>208</v>
      </c>
      <c r="H38" t="s">
        <v>3290</v>
      </c>
      <c r="I38">
        <v>228.91046142578125</v>
      </c>
      <c r="J38" t="s">
        <v>3292</v>
      </c>
      <c r="K38">
        <v>348</v>
      </c>
      <c r="L38">
        <v>90.900001525878906</v>
      </c>
      <c r="M38">
        <v>86.300003051757813</v>
      </c>
    </row>
    <row r="39" spans="1:13" ht="41.25" customHeight="1" x14ac:dyDescent="0.2">
      <c r="A39" s="30" t="s">
        <v>455</v>
      </c>
      <c r="B39" s="29">
        <v>8721863</v>
      </c>
      <c r="C39" s="29" t="s">
        <v>82</v>
      </c>
      <c r="D39" s="168"/>
      <c r="E39" s="32">
        <f t="shared" si="0"/>
        <v>1</v>
      </c>
      <c r="F39" t="s">
        <v>3294</v>
      </c>
      <c r="G39" t="s">
        <v>213</v>
      </c>
      <c r="H39" t="s">
        <v>3293</v>
      </c>
      <c r="I39">
        <v>240.27276611328125</v>
      </c>
      <c r="J39" t="s">
        <v>3295</v>
      </c>
      <c r="K39">
        <v>322</v>
      </c>
      <c r="L39">
        <v>89.400001525878906</v>
      </c>
      <c r="M39">
        <v>78</v>
      </c>
    </row>
    <row r="40" spans="1:13" ht="41.25" customHeight="1" x14ac:dyDescent="0.2">
      <c r="A40" s="30" t="s">
        <v>472</v>
      </c>
      <c r="B40" s="29">
        <v>16748574</v>
      </c>
      <c r="C40" s="30" t="s">
        <v>305</v>
      </c>
      <c r="D40" s="107"/>
      <c r="E40" s="32">
        <f t="shared" si="0"/>
        <v>1</v>
      </c>
      <c r="F40" t="s">
        <v>3297</v>
      </c>
      <c r="G40" t="s">
        <v>212</v>
      </c>
      <c r="H40" t="s">
        <v>3296</v>
      </c>
      <c r="I40">
        <v>294.38241577148438</v>
      </c>
      <c r="J40" t="s">
        <v>3298</v>
      </c>
      <c r="K40">
        <v>210</v>
      </c>
      <c r="L40">
        <v>88.199996948242188</v>
      </c>
      <c r="M40">
        <v>100</v>
      </c>
    </row>
    <row r="41" spans="1:13" ht="41.25" customHeight="1" x14ac:dyDescent="0.2">
      <c r="A41" t="s">
        <v>349</v>
      </c>
      <c r="B41">
        <v>9472532</v>
      </c>
      <c r="C41" t="s">
        <v>350</v>
      </c>
      <c r="D41" s="241"/>
      <c r="E41" s="32">
        <f t="shared" si="0"/>
        <v>1</v>
      </c>
      <c r="F41" t="s">
        <v>3300</v>
      </c>
      <c r="G41" t="s">
        <v>212</v>
      </c>
      <c r="H41" t="s">
        <v>3299</v>
      </c>
      <c r="I41">
        <v>200.44949340820313</v>
      </c>
      <c r="J41" t="s">
        <v>3301</v>
      </c>
      <c r="K41">
        <v>183</v>
      </c>
      <c r="L41">
        <v>86.099998474121094</v>
      </c>
      <c r="M41">
        <v>56.5</v>
      </c>
    </row>
    <row r="42" spans="1:13" ht="41.25" customHeight="1" x14ac:dyDescent="0.2">
      <c r="A42" s="30" t="s">
        <v>424</v>
      </c>
      <c r="B42" s="29">
        <v>2139610</v>
      </c>
      <c r="C42" s="29" t="s">
        <v>27</v>
      </c>
      <c r="D42" s="116"/>
      <c r="E42" s="32">
        <f t="shared" si="0"/>
        <v>1</v>
      </c>
      <c r="F42" t="s">
        <v>3303</v>
      </c>
      <c r="G42" t="s">
        <v>3107</v>
      </c>
      <c r="H42" t="s">
        <v>3302</v>
      </c>
      <c r="I42">
        <v>275.26895141601563</v>
      </c>
      <c r="J42" t="s">
        <v>3304</v>
      </c>
      <c r="K42">
        <v>43</v>
      </c>
      <c r="L42">
        <v>85.300003051757813</v>
      </c>
      <c r="M42">
        <v>85.5</v>
      </c>
    </row>
    <row r="43" spans="1:13" ht="41.25" customHeight="1" x14ac:dyDescent="0.2">
      <c r="A43" t="s">
        <v>413</v>
      </c>
      <c r="B43">
        <v>10134040</v>
      </c>
      <c r="C43" t="s">
        <v>414</v>
      </c>
      <c r="D43" s="169"/>
      <c r="E43" s="32">
        <f t="shared" si="0"/>
        <v>1</v>
      </c>
      <c r="F43" t="s">
        <v>3306</v>
      </c>
      <c r="G43" t="s">
        <v>212</v>
      </c>
      <c r="H43" t="s">
        <v>3305</v>
      </c>
      <c r="I43">
        <v>224.80213928222656</v>
      </c>
      <c r="J43" t="s">
        <v>3307</v>
      </c>
      <c r="K43">
        <v>177</v>
      </c>
      <c r="L43">
        <v>85.199996948242188</v>
      </c>
      <c r="M43">
        <v>63.5</v>
      </c>
    </row>
    <row r="44" spans="1:13" ht="41.25" customHeight="1" x14ac:dyDescent="0.2">
      <c r="A44" s="36" t="s">
        <v>501</v>
      </c>
      <c r="B44">
        <v>9533718</v>
      </c>
      <c r="C44" t="s">
        <v>400</v>
      </c>
      <c r="D44" s="174"/>
      <c r="E44" s="32">
        <f t="shared" si="0"/>
        <v>1</v>
      </c>
      <c r="F44" t="s">
        <v>3308</v>
      </c>
      <c r="G44" t="s">
        <v>212</v>
      </c>
      <c r="H44">
        <v>917916</v>
      </c>
      <c r="I44">
        <v>190.13153076171875</v>
      </c>
      <c r="J44" t="s">
        <v>3309</v>
      </c>
      <c r="K44">
        <v>192</v>
      </c>
      <c r="L44">
        <v>84.800003051757813</v>
      </c>
      <c r="M44">
        <v>56.900001525878906</v>
      </c>
    </row>
    <row r="45" spans="1:13" ht="41.25" customHeight="1" x14ac:dyDescent="0.2">
      <c r="A45" s="25" t="s">
        <v>416</v>
      </c>
      <c r="B45" s="29">
        <v>1058920</v>
      </c>
      <c r="C45" s="29" t="s">
        <v>271</v>
      </c>
      <c r="D45" s="158"/>
      <c r="E45" s="32">
        <f t="shared" si="0"/>
        <v>1</v>
      </c>
      <c r="F45" t="s">
        <v>3310</v>
      </c>
      <c r="G45" t="s">
        <v>211</v>
      </c>
      <c r="H45">
        <v>102868</v>
      </c>
      <c r="I45">
        <v>112.56997680664063</v>
      </c>
      <c r="J45" t="s">
        <v>3311</v>
      </c>
      <c r="K45">
        <v>16</v>
      </c>
      <c r="L45">
        <v>84.599998474121094</v>
      </c>
      <c r="M45">
        <v>40.799999237060547</v>
      </c>
    </row>
    <row r="46" spans="1:13" ht="41.25" customHeight="1" x14ac:dyDescent="0.2">
      <c r="A46" s="53" t="s">
        <v>282</v>
      </c>
      <c r="B46">
        <v>2882559</v>
      </c>
      <c r="C46" t="s">
        <v>355</v>
      </c>
      <c r="D46" s="54"/>
      <c r="E46" s="32">
        <f t="shared" si="0"/>
        <v>1</v>
      </c>
      <c r="F46" t="s">
        <v>3313</v>
      </c>
      <c r="G46" t="s">
        <v>3107</v>
      </c>
      <c r="H46" t="s">
        <v>3312</v>
      </c>
      <c r="I46">
        <v>360.38174438476563</v>
      </c>
      <c r="J46" t="s">
        <v>3314</v>
      </c>
      <c r="K46">
        <v>59</v>
      </c>
      <c r="L46">
        <v>83.099998474121094</v>
      </c>
      <c r="M46">
        <v>100</v>
      </c>
    </row>
    <row r="47" spans="1:13" ht="41.25" customHeight="1" x14ac:dyDescent="0.2">
      <c r="A47" s="60" t="s">
        <v>460</v>
      </c>
      <c r="B47">
        <v>2447320</v>
      </c>
      <c r="C47" t="s">
        <v>367</v>
      </c>
      <c r="D47" s="61"/>
      <c r="E47" s="32">
        <f t="shared" si="0"/>
        <v>1</v>
      </c>
      <c r="F47" t="s">
        <v>3316</v>
      </c>
      <c r="G47" t="s">
        <v>209</v>
      </c>
      <c r="H47" t="s">
        <v>3315</v>
      </c>
      <c r="I47">
        <v>235.78379821777344</v>
      </c>
      <c r="J47" t="s">
        <v>3317</v>
      </c>
      <c r="K47">
        <v>17</v>
      </c>
      <c r="L47">
        <v>82.900001525878906</v>
      </c>
      <c r="M47">
        <v>84.699996948242188</v>
      </c>
    </row>
    <row r="48" spans="1:13" ht="41.25" customHeight="1" x14ac:dyDescent="0.2">
      <c r="A48" s="34" t="s">
        <v>451</v>
      </c>
      <c r="B48">
        <v>3155929</v>
      </c>
      <c r="C48" t="s">
        <v>375</v>
      </c>
      <c r="D48" s="51"/>
      <c r="E48" s="32">
        <f t="shared" si="0"/>
        <v>1</v>
      </c>
      <c r="F48" t="s">
        <v>3319</v>
      </c>
      <c r="G48" t="s">
        <v>208</v>
      </c>
      <c r="H48" t="s">
        <v>3318</v>
      </c>
      <c r="I48">
        <v>225.64131164550781</v>
      </c>
      <c r="J48" t="s">
        <v>3320</v>
      </c>
      <c r="K48">
        <v>357</v>
      </c>
      <c r="L48">
        <v>82</v>
      </c>
      <c r="M48">
        <v>85.099998474121094</v>
      </c>
    </row>
    <row r="49" spans="1:13" ht="41.25" customHeight="1" x14ac:dyDescent="0.2">
      <c r="A49" s="30" t="s">
        <v>515</v>
      </c>
      <c r="B49" s="29">
        <v>11186720</v>
      </c>
      <c r="C49" s="29" t="s">
        <v>111</v>
      </c>
      <c r="D49" s="140"/>
      <c r="E49" s="32">
        <f t="shared" si="0"/>
        <v>1</v>
      </c>
      <c r="F49" t="s">
        <v>3322</v>
      </c>
      <c r="G49" t="s">
        <v>212</v>
      </c>
      <c r="H49" t="s">
        <v>3321</v>
      </c>
      <c r="I49">
        <v>248.2095947265625</v>
      </c>
      <c r="J49" t="s">
        <v>3323</v>
      </c>
      <c r="K49">
        <v>177</v>
      </c>
      <c r="L49">
        <v>82</v>
      </c>
      <c r="M49">
        <v>69.800003051757813</v>
      </c>
    </row>
    <row r="50" spans="1:13" ht="41.25" customHeight="1" x14ac:dyDescent="0.2">
      <c r="A50" s="25" t="s">
        <v>39</v>
      </c>
      <c r="B50" s="29">
        <v>3145645</v>
      </c>
      <c r="C50" s="29" t="s">
        <v>40</v>
      </c>
      <c r="D50" s="120"/>
      <c r="E50" s="32">
        <f t="shared" si="0"/>
        <v>1</v>
      </c>
      <c r="F50" t="s">
        <v>3325</v>
      </c>
      <c r="G50" s="36" t="s">
        <v>210</v>
      </c>
      <c r="H50" t="s">
        <v>3324</v>
      </c>
      <c r="I50">
        <v>311.70980834960938</v>
      </c>
      <c r="J50" t="s">
        <v>3326</v>
      </c>
      <c r="K50">
        <v>84</v>
      </c>
      <c r="L50">
        <v>81.599998474121094</v>
      </c>
      <c r="M50">
        <v>100</v>
      </c>
    </row>
    <row r="51" spans="1:13" ht="41.25" customHeight="1" x14ac:dyDescent="0.2">
      <c r="A51" s="30" t="s">
        <v>467</v>
      </c>
      <c r="B51" s="29">
        <v>14822282</v>
      </c>
      <c r="C51" s="45" t="s">
        <v>299</v>
      </c>
      <c r="D51" s="47"/>
      <c r="E51" s="32">
        <f t="shared" si="0"/>
        <v>1</v>
      </c>
      <c r="F51" t="s">
        <v>3328</v>
      </c>
      <c r="G51" t="s">
        <v>213</v>
      </c>
      <c r="H51" t="s">
        <v>3327</v>
      </c>
      <c r="I51">
        <v>268.2703857421875</v>
      </c>
      <c r="J51" t="s">
        <v>3329</v>
      </c>
      <c r="K51">
        <v>271</v>
      </c>
      <c r="L51">
        <v>81</v>
      </c>
      <c r="M51">
        <v>88.599998474121094</v>
      </c>
    </row>
    <row r="52" spans="1:13" ht="41.25" customHeight="1" x14ac:dyDescent="0.2">
      <c r="A52" s="25" t="s">
        <v>28</v>
      </c>
      <c r="B52" s="29">
        <v>2237106</v>
      </c>
      <c r="C52" s="29" t="s">
        <v>29</v>
      </c>
      <c r="D52" s="109"/>
      <c r="E52" s="32">
        <f t="shared" si="0"/>
        <v>1</v>
      </c>
      <c r="F52" t="s">
        <v>3331</v>
      </c>
      <c r="G52" t="s">
        <v>208</v>
      </c>
      <c r="H52" t="s">
        <v>3330</v>
      </c>
      <c r="I52">
        <v>184.38003540039063</v>
      </c>
      <c r="J52" t="s">
        <v>3332</v>
      </c>
      <c r="K52">
        <v>0</v>
      </c>
      <c r="L52">
        <v>80.900001525878906</v>
      </c>
      <c r="M52">
        <v>69.800003051757813</v>
      </c>
    </row>
    <row r="53" spans="1:13" ht="41.25" customHeight="1" x14ac:dyDescent="0.2">
      <c r="A53" s="53" t="s">
        <v>327</v>
      </c>
      <c r="B53">
        <v>3302397</v>
      </c>
      <c r="C53" t="s">
        <v>328</v>
      </c>
      <c r="D53" s="188"/>
      <c r="E53" s="32">
        <f t="shared" si="0"/>
        <v>1</v>
      </c>
      <c r="F53" t="s">
        <v>3334</v>
      </c>
      <c r="G53" t="s">
        <v>209</v>
      </c>
      <c r="H53" t="s">
        <v>3333</v>
      </c>
      <c r="I53">
        <v>276.24264526367188</v>
      </c>
      <c r="J53" t="s">
        <v>3335</v>
      </c>
      <c r="K53">
        <v>14</v>
      </c>
      <c r="L53">
        <v>80.199996948242188</v>
      </c>
      <c r="M53">
        <v>99.199996948242188</v>
      </c>
    </row>
    <row r="54" spans="1:13" ht="41.25" customHeight="1" x14ac:dyDescent="0.2">
      <c r="A54" s="60" t="s">
        <v>458</v>
      </c>
      <c r="B54">
        <v>2502080</v>
      </c>
      <c r="C54" t="s">
        <v>331</v>
      </c>
      <c r="D54" s="213"/>
      <c r="E54" s="32">
        <f t="shared" si="0"/>
        <v>1</v>
      </c>
      <c r="F54" t="s">
        <v>3337</v>
      </c>
      <c r="G54" t="s">
        <v>208</v>
      </c>
      <c r="H54" t="s">
        <v>3336</v>
      </c>
      <c r="I54">
        <v>200.83078002929688</v>
      </c>
      <c r="J54" t="s">
        <v>3338</v>
      </c>
      <c r="K54">
        <v>3</v>
      </c>
      <c r="L54">
        <v>80.199996948242188</v>
      </c>
      <c r="M54">
        <v>75.300003051757813</v>
      </c>
    </row>
    <row r="55" spans="1:13" ht="41.25" customHeight="1" x14ac:dyDescent="0.2">
      <c r="A55" s="53" t="s">
        <v>365</v>
      </c>
      <c r="B55">
        <v>3508479</v>
      </c>
      <c r="C55" t="s">
        <v>366</v>
      </c>
      <c r="D55" s="149"/>
      <c r="E55" s="32">
        <f t="shared" si="0"/>
        <v>1</v>
      </c>
      <c r="F55" t="s">
        <v>3340</v>
      </c>
      <c r="G55" t="s">
        <v>3106</v>
      </c>
      <c r="H55" t="s">
        <v>3339</v>
      </c>
      <c r="I55">
        <v>293.81967163085938</v>
      </c>
      <c r="J55" t="s">
        <v>3341</v>
      </c>
      <c r="K55">
        <v>25</v>
      </c>
      <c r="L55">
        <v>79.199996948242188</v>
      </c>
      <c r="M55">
        <v>100</v>
      </c>
    </row>
    <row r="56" spans="1:13" ht="41.25" customHeight="1" x14ac:dyDescent="0.2">
      <c r="A56" s="34" t="s">
        <v>440</v>
      </c>
      <c r="B56">
        <v>5909193</v>
      </c>
      <c r="C56" t="s">
        <v>374</v>
      </c>
      <c r="D56" s="99"/>
      <c r="E56" s="32">
        <f t="shared" si="0"/>
        <v>1</v>
      </c>
      <c r="F56" t="s">
        <v>3343</v>
      </c>
      <c r="G56" t="s">
        <v>208</v>
      </c>
      <c r="H56" t="s">
        <v>3342</v>
      </c>
      <c r="I56">
        <v>224.19857788085938</v>
      </c>
      <c r="J56" t="s">
        <v>3344</v>
      </c>
      <c r="K56">
        <v>342</v>
      </c>
      <c r="L56">
        <v>79.099998474121094</v>
      </c>
      <c r="M56">
        <v>78.800003051757813</v>
      </c>
    </row>
    <row r="57" spans="1:13" ht="41.25" customHeight="1" x14ac:dyDescent="0.2">
      <c r="A57" s="102" t="s">
        <v>503</v>
      </c>
      <c r="B57">
        <v>7366424</v>
      </c>
      <c r="C57" t="s">
        <v>401</v>
      </c>
      <c r="D57" s="103"/>
      <c r="E57" s="32">
        <f t="shared" si="0"/>
        <v>1</v>
      </c>
      <c r="F57" t="s">
        <v>3345</v>
      </c>
      <c r="G57" s="38" t="s">
        <v>212</v>
      </c>
      <c r="H57">
        <v>706718</v>
      </c>
      <c r="I57">
        <v>154.04220581054688</v>
      </c>
      <c r="J57" t="s">
        <v>3346</v>
      </c>
      <c r="K57">
        <v>186</v>
      </c>
      <c r="L57">
        <v>78.599998474121094</v>
      </c>
      <c r="M57">
        <v>43.900001525878906</v>
      </c>
    </row>
    <row r="58" spans="1:13" ht="41.25" customHeight="1" x14ac:dyDescent="0.2">
      <c r="A58" s="30" t="s">
        <v>479</v>
      </c>
      <c r="B58" s="29">
        <v>7346457</v>
      </c>
      <c r="C58" s="30" t="s">
        <v>311</v>
      </c>
      <c r="D58" s="175"/>
      <c r="E58" s="32">
        <f t="shared" si="0"/>
        <v>1</v>
      </c>
      <c r="F58" t="s">
        <v>3347</v>
      </c>
      <c r="G58" t="s">
        <v>212</v>
      </c>
      <c r="H58">
        <v>701919</v>
      </c>
      <c r="I58">
        <v>117.44786071777344</v>
      </c>
      <c r="J58" t="s">
        <v>3348</v>
      </c>
      <c r="K58">
        <v>240</v>
      </c>
      <c r="L58">
        <v>77.699996948242188</v>
      </c>
      <c r="M58">
        <v>43.900001525878906</v>
      </c>
    </row>
    <row r="59" spans="1:13" ht="41.25" customHeight="1" x14ac:dyDescent="0.2">
      <c r="A59" s="53" t="s">
        <v>356</v>
      </c>
      <c r="B59">
        <v>4041727</v>
      </c>
      <c r="C59" s="60" t="s">
        <v>357</v>
      </c>
      <c r="D59" s="233"/>
      <c r="E59" s="32">
        <f t="shared" si="0"/>
        <v>1</v>
      </c>
      <c r="F59" t="s">
        <v>3350</v>
      </c>
      <c r="G59" t="s">
        <v>3106</v>
      </c>
      <c r="H59" t="s">
        <v>3349</v>
      </c>
      <c r="I59">
        <v>313.02874755859375</v>
      </c>
      <c r="J59" t="s">
        <v>3351</v>
      </c>
      <c r="K59">
        <v>34</v>
      </c>
      <c r="L59">
        <v>76.099998474121094</v>
      </c>
      <c r="M59">
        <v>100</v>
      </c>
    </row>
    <row r="60" spans="1:13" ht="41.25" customHeight="1" x14ac:dyDescent="0.2">
      <c r="A60" s="25" t="s">
        <v>42</v>
      </c>
      <c r="B60" s="29">
        <v>3329434</v>
      </c>
      <c r="C60" s="29" t="s">
        <v>420</v>
      </c>
      <c r="D60" s="248"/>
      <c r="E60" s="32">
        <f t="shared" si="0"/>
        <v>1</v>
      </c>
      <c r="F60" t="s">
        <v>3353</v>
      </c>
      <c r="G60" s="36" t="s">
        <v>210</v>
      </c>
      <c r="H60" t="s">
        <v>3352</v>
      </c>
      <c r="I60">
        <v>261.22979736328125</v>
      </c>
      <c r="J60" t="s">
        <v>3354</v>
      </c>
      <c r="K60">
        <v>80</v>
      </c>
      <c r="L60">
        <v>75.599998474121094</v>
      </c>
      <c r="M60">
        <v>80.400001525878906</v>
      </c>
    </row>
    <row r="61" spans="1:13" ht="41.25" customHeight="1" x14ac:dyDescent="0.2">
      <c r="A61" s="30" t="s">
        <v>499</v>
      </c>
      <c r="B61" s="29">
        <v>3329330</v>
      </c>
      <c r="C61" s="29" t="s">
        <v>41</v>
      </c>
      <c r="D61" s="154"/>
      <c r="E61" s="32">
        <f t="shared" si="0"/>
        <v>1</v>
      </c>
      <c r="F61" t="s">
        <v>3356</v>
      </c>
      <c r="G61" s="102" t="s">
        <v>210</v>
      </c>
      <c r="H61" t="s">
        <v>3355</v>
      </c>
      <c r="I61">
        <v>216.85247802734375</v>
      </c>
      <c r="J61" t="s">
        <v>3357</v>
      </c>
      <c r="K61">
        <v>120</v>
      </c>
      <c r="L61">
        <v>75.599998474121094</v>
      </c>
      <c r="M61">
        <v>80.400001525878906</v>
      </c>
    </row>
    <row r="62" spans="1:13" ht="41.25" customHeight="1" x14ac:dyDescent="0.2">
      <c r="A62" s="25" t="s">
        <v>128</v>
      </c>
      <c r="B62" s="29">
        <v>13382297</v>
      </c>
      <c r="C62" s="29" t="s">
        <v>129</v>
      </c>
      <c r="D62" s="80"/>
      <c r="E62" s="32">
        <f t="shared" si="0"/>
        <v>1</v>
      </c>
      <c r="F62" t="s">
        <v>3359</v>
      </c>
      <c r="G62" t="s">
        <v>3109</v>
      </c>
      <c r="H62" t="s">
        <v>3358</v>
      </c>
      <c r="I62">
        <v>259.85574340820313</v>
      </c>
      <c r="J62" t="s">
        <v>3360</v>
      </c>
      <c r="K62">
        <v>280</v>
      </c>
      <c r="L62">
        <v>75.5</v>
      </c>
      <c r="M62">
        <v>80</v>
      </c>
    </row>
    <row r="63" spans="1:13" ht="41.25" customHeight="1" x14ac:dyDescent="0.2">
      <c r="A63" s="60" t="s">
        <v>453</v>
      </c>
      <c r="B63">
        <v>3417235</v>
      </c>
      <c r="C63" t="s">
        <v>376</v>
      </c>
      <c r="D63" s="98"/>
      <c r="E63" s="32">
        <f t="shared" si="0"/>
        <v>1</v>
      </c>
      <c r="F63" t="s">
        <v>3361</v>
      </c>
      <c r="G63" t="s">
        <v>208</v>
      </c>
      <c r="H63">
        <v>342493</v>
      </c>
      <c r="I63">
        <v>160.02812194824219</v>
      </c>
      <c r="J63" t="s">
        <v>3362</v>
      </c>
      <c r="K63">
        <v>351</v>
      </c>
      <c r="L63">
        <v>75.5</v>
      </c>
      <c r="M63">
        <v>57.599998474121094</v>
      </c>
    </row>
    <row r="64" spans="1:13" ht="41.25" customHeight="1" x14ac:dyDescent="0.2">
      <c r="A64" s="30" t="s">
        <v>506</v>
      </c>
      <c r="B64" s="29">
        <v>2263842</v>
      </c>
      <c r="C64" s="29" t="s">
        <v>30</v>
      </c>
      <c r="D64" s="111"/>
      <c r="E64" s="32">
        <f t="shared" si="0"/>
        <v>1</v>
      </c>
      <c r="F64" t="s">
        <v>3364</v>
      </c>
      <c r="G64" s="102" t="s">
        <v>210</v>
      </c>
      <c r="H64" t="s">
        <v>3363</v>
      </c>
      <c r="I64">
        <v>147.08160400390625</v>
      </c>
      <c r="J64" t="s">
        <v>3365</v>
      </c>
      <c r="K64">
        <v>120</v>
      </c>
      <c r="L64">
        <v>75.5</v>
      </c>
      <c r="M64">
        <v>54.5</v>
      </c>
    </row>
    <row r="65" spans="1:13" ht="41.25" customHeight="1" x14ac:dyDescent="0.2">
      <c r="A65" s="25" t="s">
        <v>31</v>
      </c>
      <c r="B65" s="29">
        <v>2330219</v>
      </c>
      <c r="C65" s="29" t="s">
        <v>32</v>
      </c>
      <c r="D65" s="186"/>
      <c r="E65" s="32">
        <f t="shared" si="0"/>
        <v>1</v>
      </c>
      <c r="F65" t="s">
        <v>3367</v>
      </c>
      <c r="G65" s="36" t="s">
        <v>210</v>
      </c>
      <c r="H65" t="s">
        <v>3366</v>
      </c>
      <c r="I65">
        <v>181.21258544921875</v>
      </c>
      <c r="J65" t="s">
        <v>3368</v>
      </c>
      <c r="K65">
        <v>80</v>
      </c>
      <c r="L65">
        <v>75.400001525878906</v>
      </c>
      <c r="M65">
        <v>55.700000762939453</v>
      </c>
    </row>
    <row r="66" spans="1:13" ht="41.25" customHeight="1" x14ac:dyDescent="0.2">
      <c r="A66" s="25" t="s">
        <v>33</v>
      </c>
      <c r="B66" s="29">
        <v>2763429</v>
      </c>
      <c r="C66" s="29" t="s">
        <v>34</v>
      </c>
      <c r="D66" s="56"/>
      <c r="E66" s="32">
        <f t="shared" si="0"/>
        <v>1</v>
      </c>
      <c r="F66" t="s">
        <v>3370</v>
      </c>
      <c r="G66" t="s">
        <v>208</v>
      </c>
      <c r="H66" t="s">
        <v>3369</v>
      </c>
      <c r="I66">
        <v>175.36532592773438</v>
      </c>
      <c r="J66" t="s">
        <v>3371</v>
      </c>
      <c r="K66">
        <v>0</v>
      </c>
      <c r="L66">
        <v>74.5</v>
      </c>
      <c r="M66">
        <v>64.699996948242188</v>
      </c>
    </row>
    <row r="67" spans="1:13" ht="41.25" customHeight="1" x14ac:dyDescent="0.2">
      <c r="A67" s="49" t="s">
        <v>461</v>
      </c>
      <c r="B67">
        <v>3678070</v>
      </c>
      <c r="C67" t="s">
        <v>332</v>
      </c>
      <c r="D67" s="58"/>
      <c r="E67" s="32">
        <f t="shared" ref="E67:E130" si="1">COUNTIF($A$2:$A$220,A67)</f>
        <v>1</v>
      </c>
      <c r="F67" t="s">
        <v>3373</v>
      </c>
      <c r="G67" t="s">
        <v>213</v>
      </c>
      <c r="H67" t="s">
        <v>3372</v>
      </c>
      <c r="I67">
        <v>134.24232482910156</v>
      </c>
      <c r="J67" t="s">
        <v>3374</v>
      </c>
      <c r="K67">
        <v>343</v>
      </c>
      <c r="L67">
        <v>73.699996948242188</v>
      </c>
      <c r="M67">
        <v>46.299999237060547</v>
      </c>
    </row>
    <row r="68" spans="1:13" ht="41.25" customHeight="1" x14ac:dyDescent="0.2">
      <c r="A68" s="60" t="s">
        <v>436</v>
      </c>
      <c r="B68">
        <v>3374528</v>
      </c>
      <c r="C68" t="s">
        <v>361</v>
      </c>
      <c r="D68" s="196"/>
      <c r="E68" s="32">
        <f t="shared" si="1"/>
        <v>1</v>
      </c>
      <c r="F68" t="s">
        <v>3376</v>
      </c>
      <c r="G68" t="s">
        <v>3106</v>
      </c>
      <c r="H68" t="s">
        <v>3375</v>
      </c>
      <c r="I68">
        <v>234.71258544921875</v>
      </c>
      <c r="J68" t="s">
        <v>3377</v>
      </c>
      <c r="K68">
        <v>31</v>
      </c>
      <c r="L68">
        <v>73.400001525878906</v>
      </c>
      <c r="M68">
        <v>75.300003051757813</v>
      </c>
    </row>
    <row r="69" spans="1:13" ht="41.25" customHeight="1" x14ac:dyDescent="0.2">
      <c r="A69" s="25" t="s">
        <v>47</v>
      </c>
      <c r="B69" s="29">
        <v>4678655</v>
      </c>
      <c r="C69" s="29" t="s">
        <v>48</v>
      </c>
      <c r="D69" s="239"/>
      <c r="E69" s="32">
        <f t="shared" si="1"/>
        <v>1</v>
      </c>
      <c r="F69" t="s">
        <v>3379</v>
      </c>
      <c r="G69" t="s">
        <v>209</v>
      </c>
      <c r="H69" t="s">
        <v>3378</v>
      </c>
      <c r="I69">
        <v>282.60751342773438</v>
      </c>
      <c r="J69" t="s">
        <v>3380</v>
      </c>
      <c r="K69">
        <v>9</v>
      </c>
      <c r="L69">
        <v>72.199996948242188</v>
      </c>
      <c r="M69">
        <v>100</v>
      </c>
    </row>
    <row r="70" spans="1:13" ht="41.25" customHeight="1" x14ac:dyDescent="0.2">
      <c r="A70" s="1" t="s">
        <v>426</v>
      </c>
      <c r="B70">
        <v>4364269</v>
      </c>
      <c r="C70" t="s">
        <v>360</v>
      </c>
      <c r="D70" s="172"/>
      <c r="E70" s="32">
        <f t="shared" si="1"/>
        <v>1</v>
      </c>
      <c r="F70" t="s">
        <v>3382</v>
      </c>
      <c r="G70" t="s">
        <v>3106</v>
      </c>
      <c r="H70" t="s">
        <v>3381</v>
      </c>
      <c r="I70">
        <v>288.66244506835938</v>
      </c>
      <c r="J70" t="s">
        <v>3383</v>
      </c>
      <c r="K70">
        <v>30</v>
      </c>
      <c r="L70">
        <v>72.199996948242188</v>
      </c>
      <c r="M70">
        <v>92.900001525878906</v>
      </c>
    </row>
    <row r="71" spans="1:13" ht="41.25" customHeight="1" x14ac:dyDescent="0.2">
      <c r="A71" s="25" t="s">
        <v>35</v>
      </c>
      <c r="B71" s="29">
        <v>2970272</v>
      </c>
      <c r="C71" s="29" t="s">
        <v>36</v>
      </c>
      <c r="D71" s="224"/>
      <c r="E71" s="32">
        <f t="shared" si="1"/>
        <v>1</v>
      </c>
      <c r="F71" t="s">
        <v>3385</v>
      </c>
      <c r="G71" t="s">
        <v>211</v>
      </c>
      <c r="H71" t="s">
        <v>3384</v>
      </c>
      <c r="I71">
        <v>185.3348388671875</v>
      </c>
      <c r="J71" t="s">
        <v>3386</v>
      </c>
      <c r="K71">
        <v>19</v>
      </c>
      <c r="L71">
        <v>71.900001525878906</v>
      </c>
      <c r="M71">
        <v>62.700000762939453</v>
      </c>
    </row>
    <row r="72" spans="1:13" ht="41.25" customHeight="1" x14ac:dyDescent="0.2">
      <c r="A72" s="25" t="s">
        <v>136</v>
      </c>
      <c r="B72" s="29">
        <v>13688896</v>
      </c>
      <c r="C72" s="29" t="s">
        <v>137</v>
      </c>
      <c r="D72" s="240"/>
      <c r="E72" s="32">
        <f t="shared" si="1"/>
        <v>1</v>
      </c>
      <c r="F72" t="s">
        <v>3388</v>
      </c>
      <c r="G72" t="s">
        <v>212</v>
      </c>
      <c r="H72" t="s">
        <v>3387</v>
      </c>
      <c r="I72">
        <v>312.30752563476563</v>
      </c>
      <c r="J72" t="s">
        <v>3389</v>
      </c>
      <c r="K72">
        <v>174</v>
      </c>
      <c r="L72">
        <v>71.400001525878906</v>
      </c>
      <c r="M72">
        <v>87.800003051757813</v>
      </c>
    </row>
    <row r="73" spans="1:13" ht="41.25" customHeight="1" x14ac:dyDescent="0.2">
      <c r="A73" s="53" t="s">
        <v>321</v>
      </c>
      <c r="B73">
        <v>3367346</v>
      </c>
      <c r="C73" t="s">
        <v>322</v>
      </c>
      <c r="D73" s="55"/>
      <c r="E73" s="32">
        <f t="shared" si="1"/>
        <v>1</v>
      </c>
      <c r="F73" t="s">
        <v>3391</v>
      </c>
      <c r="G73" t="s">
        <v>3106</v>
      </c>
      <c r="H73" t="s">
        <v>3390</v>
      </c>
      <c r="I73">
        <v>209.03109741210938</v>
      </c>
      <c r="J73" t="s">
        <v>3392</v>
      </c>
      <c r="K73">
        <v>22</v>
      </c>
      <c r="L73">
        <v>71.300003051757813</v>
      </c>
      <c r="M73">
        <v>69.800003051757813</v>
      </c>
    </row>
    <row r="74" spans="1:13" ht="41.25" customHeight="1" x14ac:dyDescent="0.2">
      <c r="A74" s="81" t="s">
        <v>491</v>
      </c>
      <c r="B74" s="29">
        <v>14772545</v>
      </c>
      <c r="C74" s="30" t="s">
        <v>314</v>
      </c>
      <c r="D74" s="217"/>
      <c r="E74" s="32">
        <f t="shared" si="1"/>
        <v>1</v>
      </c>
      <c r="F74" t="s">
        <v>3394</v>
      </c>
      <c r="G74" t="s">
        <v>212</v>
      </c>
      <c r="H74" t="s">
        <v>3393</v>
      </c>
      <c r="I74">
        <v>256.6612548828125</v>
      </c>
      <c r="J74" t="s">
        <v>3395</v>
      </c>
      <c r="K74">
        <v>225</v>
      </c>
      <c r="L74">
        <v>71.099998474121094</v>
      </c>
      <c r="M74">
        <v>88.199996948242188</v>
      </c>
    </row>
    <row r="75" spans="1:13" ht="41.25" customHeight="1" x14ac:dyDescent="0.2">
      <c r="A75" s="53" t="s">
        <v>283</v>
      </c>
      <c r="B75">
        <v>4836089</v>
      </c>
      <c r="C75" s="60" t="s">
        <v>320</v>
      </c>
      <c r="D75" s="249"/>
      <c r="E75" s="32">
        <f t="shared" si="1"/>
        <v>1</v>
      </c>
      <c r="F75" t="s">
        <v>3397</v>
      </c>
      <c r="G75" t="s">
        <v>3107</v>
      </c>
      <c r="H75" t="s">
        <v>3396</v>
      </c>
      <c r="I75">
        <v>328.83734130859375</v>
      </c>
      <c r="J75" t="s">
        <v>3398</v>
      </c>
      <c r="K75">
        <v>44</v>
      </c>
      <c r="L75">
        <v>70.699996948242188</v>
      </c>
      <c r="M75">
        <v>97.599998474121094</v>
      </c>
    </row>
    <row r="76" spans="1:13" ht="41.25" customHeight="1" x14ac:dyDescent="0.2">
      <c r="A76" s="53" t="s">
        <v>396</v>
      </c>
      <c r="B76">
        <v>3761694</v>
      </c>
      <c r="C76" t="s">
        <v>397</v>
      </c>
      <c r="D76" s="191"/>
      <c r="E76" s="32">
        <f t="shared" si="1"/>
        <v>1</v>
      </c>
      <c r="F76" t="s">
        <v>3400</v>
      </c>
      <c r="G76" s="36" t="s">
        <v>210</v>
      </c>
      <c r="H76" t="s">
        <v>3399</v>
      </c>
      <c r="I76">
        <v>120.63581848144531</v>
      </c>
      <c r="J76" t="s">
        <v>3401</v>
      </c>
      <c r="K76">
        <v>143</v>
      </c>
      <c r="L76">
        <v>70.599998474121094</v>
      </c>
      <c r="M76">
        <v>40</v>
      </c>
    </row>
    <row r="77" spans="1:13" ht="41.25" customHeight="1" x14ac:dyDescent="0.2">
      <c r="A77" s="49" t="s">
        <v>494</v>
      </c>
      <c r="B77">
        <v>9065770</v>
      </c>
      <c r="C77" t="s">
        <v>386</v>
      </c>
      <c r="D77" s="92"/>
      <c r="E77" s="32">
        <f t="shared" si="1"/>
        <v>1</v>
      </c>
      <c r="F77" t="s">
        <v>3403</v>
      </c>
      <c r="G77" t="s">
        <v>212</v>
      </c>
      <c r="H77" t="s">
        <v>3402</v>
      </c>
      <c r="I77">
        <v>167.43058776855469</v>
      </c>
      <c r="J77" t="s">
        <v>3404</v>
      </c>
      <c r="K77">
        <v>213</v>
      </c>
      <c r="L77">
        <v>69.599998474121094</v>
      </c>
      <c r="M77">
        <v>54.099998474121094</v>
      </c>
    </row>
    <row r="78" spans="1:13" ht="41.25" customHeight="1" x14ac:dyDescent="0.2">
      <c r="A78" s="60" t="s">
        <v>430</v>
      </c>
      <c r="B78">
        <v>3753402</v>
      </c>
      <c r="C78" t="s">
        <v>368</v>
      </c>
      <c r="D78" s="91"/>
      <c r="E78" s="32">
        <f t="shared" si="1"/>
        <v>1</v>
      </c>
      <c r="F78" t="s">
        <v>3406</v>
      </c>
      <c r="G78" t="s">
        <v>208</v>
      </c>
      <c r="H78" t="s">
        <v>3405</v>
      </c>
      <c r="I78">
        <v>206.41221618652344</v>
      </c>
      <c r="J78" t="s">
        <v>3407</v>
      </c>
      <c r="K78">
        <v>6</v>
      </c>
      <c r="L78">
        <v>69.400001525878906</v>
      </c>
      <c r="M78">
        <v>72.900001525878906</v>
      </c>
    </row>
    <row r="79" spans="1:13" ht="41.25" customHeight="1" x14ac:dyDescent="0.2">
      <c r="A79" s="25" t="s">
        <v>45</v>
      </c>
      <c r="B79" s="29">
        <v>4163021</v>
      </c>
      <c r="C79" s="29" t="s">
        <v>46</v>
      </c>
      <c r="D79" s="204"/>
      <c r="E79" s="32">
        <f t="shared" si="1"/>
        <v>1</v>
      </c>
      <c r="F79" t="s">
        <v>3409</v>
      </c>
      <c r="G79" t="s">
        <v>3106</v>
      </c>
      <c r="H79" t="s">
        <v>3408</v>
      </c>
      <c r="I79">
        <v>252.35490417480469</v>
      </c>
      <c r="J79" t="s">
        <v>3410</v>
      </c>
      <c r="K79">
        <v>30</v>
      </c>
      <c r="L79">
        <v>69.300003051757813</v>
      </c>
      <c r="M79">
        <v>80.400001525878906</v>
      </c>
    </row>
    <row r="80" spans="1:13" ht="41.25" customHeight="1" x14ac:dyDescent="0.2">
      <c r="A80" s="53" t="s">
        <v>323</v>
      </c>
      <c r="B80">
        <v>2307697</v>
      </c>
      <c r="C80" t="s">
        <v>324</v>
      </c>
      <c r="D80" s="157"/>
      <c r="E80" s="32">
        <f t="shared" si="1"/>
        <v>1</v>
      </c>
      <c r="F80" t="s">
        <v>3411</v>
      </c>
      <c r="G80" t="s">
        <v>211</v>
      </c>
      <c r="H80">
        <v>233671</v>
      </c>
      <c r="I80">
        <v>130.0384521484375</v>
      </c>
      <c r="J80" t="s">
        <v>3412</v>
      </c>
      <c r="K80">
        <v>15</v>
      </c>
      <c r="L80">
        <v>69</v>
      </c>
      <c r="M80">
        <v>44.299999237060547</v>
      </c>
    </row>
    <row r="81" spans="1:13" ht="41.25" customHeight="1" x14ac:dyDescent="0.2">
      <c r="A81" s="28" t="s">
        <v>429</v>
      </c>
      <c r="B81" s="29">
        <v>5275647</v>
      </c>
      <c r="C81" s="29" t="s">
        <v>53</v>
      </c>
      <c r="D81" s="66"/>
      <c r="E81" s="32">
        <f t="shared" si="1"/>
        <v>1</v>
      </c>
      <c r="F81" t="s">
        <v>3414</v>
      </c>
      <c r="G81" t="s">
        <v>209</v>
      </c>
      <c r="H81" t="s">
        <v>3413</v>
      </c>
      <c r="I81">
        <v>295.895263671875</v>
      </c>
      <c r="J81" t="s">
        <v>3415</v>
      </c>
      <c r="K81">
        <v>16</v>
      </c>
      <c r="L81">
        <v>68.599998474121094</v>
      </c>
      <c r="M81">
        <v>100</v>
      </c>
    </row>
    <row r="82" spans="1:13" ht="41.25" customHeight="1" x14ac:dyDescent="0.2">
      <c r="A82" s="34" t="s">
        <v>509</v>
      </c>
      <c r="B82">
        <v>3098257</v>
      </c>
      <c r="C82" t="s">
        <v>406</v>
      </c>
      <c r="D82" s="237"/>
      <c r="E82" s="32">
        <f t="shared" si="1"/>
        <v>1</v>
      </c>
      <c r="F82" t="s">
        <v>3417</v>
      </c>
      <c r="G82" t="s">
        <v>211</v>
      </c>
      <c r="H82" t="s">
        <v>3416</v>
      </c>
      <c r="I82">
        <v>167.73193359375</v>
      </c>
      <c r="J82" t="s">
        <v>3418</v>
      </c>
      <c r="K82">
        <v>14</v>
      </c>
      <c r="L82">
        <v>67.599998474121094</v>
      </c>
      <c r="M82">
        <v>56.900001525878906</v>
      </c>
    </row>
    <row r="83" spans="1:13" ht="41.25" customHeight="1" x14ac:dyDescent="0.2">
      <c r="A83" s="53" t="s">
        <v>280</v>
      </c>
      <c r="B83">
        <v>1977948</v>
      </c>
      <c r="C83" t="s">
        <v>325</v>
      </c>
      <c r="D83" s="57"/>
      <c r="E83" s="32">
        <f t="shared" si="1"/>
        <v>1</v>
      </c>
      <c r="F83" t="s">
        <v>3420</v>
      </c>
      <c r="G83" t="s">
        <v>211</v>
      </c>
      <c r="H83" t="s">
        <v>3419</v>
      </c>
      <c r="I83">
        <v>107.14476013183594</v>
      </c>
      <c r="J83" t="s">
        <v>3421</v>
      </c>
      <c r="K83">
        <v>15</v>
      </c>
      <c r="L83">
        <v>67.400001525878906</v>
      </c>
      <c r="M83">
        <v>36.099998474121094</v>
      </c>
    </row>
    <row r="84" spans="1:13" ht="41.25" customHeight="1" x14ac:dyDescent="0.2">
      <c r="A84" s="25" t="s">
        <v>267</v>
      </c>
      <c r="B84" s="29">
        <v>921387</v>
      </c>
      <c r="C84" s="29" t="s">
        <v>268</v>
      </c>
      <c r="D84" s="64"/>
      <c r="E84" s="32">
        <f t="shared" si="1"/>
        <v>1</v>
      </c>
      <c r="F84" t="s">
        <v>3423</v>
      </c>
      <c r="G84" t="s">
        <v>211</v>
      </c>
      <c r="H84" t="s">
        <v>3422</v>
      </c>
      <c r="I84">
        <v>47.644515991210938</v>
      </c>
      <c r="J84" t="s">
        <v>3424</v>
      </c>
      <c r="K84">
        <v>2</v>
      </c>
      <c r="L84">
        <v>67.400001525878906</v>
      </c>
      <c r="M84">
        <v>16.899999618530273</v>
      </c>
    </row>
    <row r="85" spans="1:13" ht="41.25" customHeight="1" x14ac:dyDescent="0.2">
      <c r="A85" s="30" t="s">
        <v>517</v>
      </c>
      <c r="B85" s="29">
        <v>5737262</v>
      </c>
      <c r="C85" s="29" t="s">
        <v>54</v>
      </c>
      <c r="D85" s="221"/>
      <c r="E85" s="32">
        <f t="shared" si="1"/>
        <v>1</v>
      </c>
      <c r="F85" t="s">
        <v>3426</v>
      </c>
      <c r="G85" s="36" t="s">
        <v>210</v>
      </c>
      <c r="H85" t="s">
        <v>3425</v>
      </c>
      <c r="I85">
        <v>170.31147766113281</v>
      </c>
      <c r="J85" t="s">
        <v>3427</v>
      </c>
      <c r="K85">
        <v>146</v>
      </c>
      <c r="L85">
        <v>66.900001525878906</v>
      </c>
      <c r="M85">
        <v>54.5</v>
      </c>
    </row>
    <row r="86" spans="1:13" ht="41.25" customHeight="1" x14ac:dyDescent="0.2">
      <c r="A86" s="30" t="s">
        <v>516</v>
      </c>
      <c r="B86" s="29">
        <v>7451452</v>
      </c>
      <c r="C86" s="29" t="s">
        <v>65</v>
      </c>
      <c r="D86" s="164"/>
      <c r="E86" s="32">
        <f t="shared" si="1"/>
        <v>1</v>
      </c>
      <c r="F86" t="s">
        <v>3429</v>
      </c>
      <c r="G86" s="36" t="s">
        <v>210</v>
      </c>
      <c r="H86" t="s">
        <v>3428</v>
      </c>
      <c r="I86">
        <v>220.02272033691406</v>
      </c>
      <c r="J86" t="s">
        <v>3430</v>
      </c>
      <c r="K86">
        <v>147</v>
      </c>
      <c r="L86">
        <v>66.5</v>
      </c>
      <c r="M86">
        <v>70.199996948242188</v>
      </c>
    </row>
    <row r="87" spans="1:13" ht="41.25" customHeight="1" x14ac:dyDescent="0.2">
      <c r="A87" s="25" t="s">
        <v>130</v>
      </c>
      <c r="B87" s="29">
        <v>13422920</v>
      </c>
      <c r="C87" s="29" t="s">
        <v>131</v>
      </c>
      <c r="D87" s="167"/>
      <c r="E87" s="32">
        <f t="shared" si="1"/>
        <v>1</v>
      </c>
      <c r="F87" t="s">
        <v>3432</v>
      </c>
      <c r="G87" t="s">
        <v>212</v>
      </c>
      <c r="H87" t="s">
        <v>3431</v>
      </c>
      <c r="I87">
        <v>300.80059814453125</v>
      </c>
      <c r="J87" t="s">
        <v>3433</v>
      </c>
      <c r="K87">
        <v>178</v>
      </c>
      <c r="L87">
        <v>65.599998474121094</v>
      </c>
      <c r="M87">
        <v>82</v>
      </c>
    </row>
    <row r="88" spans="1:13" ht="41.25" customHeight="1" x14ac:dyDescent="0.2">
      <c r="A88" s="34" t="s">
        <v>500</v>
      </c>
      <c r="B88">
        <v>5033169</v>
      </c>
      <c r="C88" t="s">
        <v>336</v>
      </c>
      <c r="D88" s="155"/>
      <c r="E88" s="32">
        <f t="shared" si="1"/>
        <v>1</v>
      </c>
      <c r="F88" t="s">
        <v>3435</v>
      </c>
      <c r="G88" t="s">
        <v>3107</v>
      </c>
      <c r="H88" t="s">
        <v>3434</v>
      </c>
      <c r="I88">
        <v>301.78302001953125</v>
      </c>
      <c r="J88" t="s">
        <v>3436</v>
      </c>
      <c r="K88">
        <v>58</v>
      </c>
      <c r="L88">
        <v>63.599998474121094</v>
      </c>
      <c r="M88">
        <v>82</v>
      </c>
    </row>
    <row r="89" spans="1:13" ht="41.25" customHeight="1" x14ac:dyDescent="0.2">
      <c r="A89" s="53" t="s">
        <v>281</v>
      </c>
      <c r="B89">
        <v>1778762</v>
      </c>
      <c r="C89" s="60" t="s">
        <v>326</v>
      </c>
      <c r="D89" s="65"/>
      <c r="E89" s="32">
        <f t="shared" si="1"/>
        <v>1</v>
      </c>
      <c r="F89" t="s">
        <v>3438</v>
      </c>
      <c r="G89" t="s">
        <v>211</v>
      </c>
      <c r="H89" t="s">
        <v>3437</v>
      </c>
      <c r="I89">
        <v>86.608314514160156</v>
      </c>
      <c r="J89" t="s">
        <v>3439</v>
      </c>
      <c r="K89">
        <v>11</v>
      </c>
      <c r="L89">
        <v>63.5</v>
      </c>
      <c r="M89">
        <v>29</v>
      </c>
    </row>
    <row r="90" spans="1:13" ht="41.25" customHeight="1" x14ac:dyDescent="0.2">
      <c r="A90" s="49" t="s">
        <v>445</v>
      </c>
      <c r="B90">
        <v>8738798</v>
      </c>
      <c r="C90" t="s">
        <v>373</v>
      </c>
      <c r="D90" s="96"/>
      <c r="E90" s="32">
        <f t="shared" si="1"/>
        <v>1</v>
      </c>
      <c r="F90" t="s">
        <v>3441</v>
      </c>
      <c r="G90" t="s">
        <v>214</v>
      </c>
      <c r="H90" t="s">
        <v>3440</v>
      </c>
      <c r="I90">
        <v>286.18524169921875</v>
      </c>
      <c r="J90" t="s">
        <v>3442</v>
      </c>
      <c r="K90">
        <v>342</v>
      </c>
      <c r="L90">
        <v>63.400001525878906</v>
      </c>
      <c r="M90">
        <v>93.300003051757813</v>
      </c>
    </row>
    <row r="91" spans="1:13" ht="41.25" customHeight="1" x14ac:dyDescent="0.2">
      <c r="A91" s="60" t="s">
        <v>481</v>
      </c>
      <c r="B91">
        <v>3814678</v>
      </c>
      <c r="C91" t="s">
        <v>408</v>
      </c>
      <c r="D91" s="183"/>
      <c r="E91" s="32">
        <f t="shared" si="1"/>
        <v>1</v>
      </c>
      <c r="F91" t="s">
        <v>3444</v>
      </c>
      <c r="G91" t="s">
        <v>212</v>
      </c>
      <c r="H91" t="s">
        <v>3443</v>
      </c>
      <c r="I91">
        <v>81.590438842773438</v>
      </c>
      <c r="J91" t="s">
        <v>3445</v>
      </c>
      <c r="K91">
        <v>188</v>
      </c>
      <c r="L91">
        <v>62.099998474121094</v>
      </c>
      <c r="M91">
        <v>22.700000762939453</v>
      </c>
    </row>
    <row r="92" spans="1:13" ht="41.25" customHeight="1" x14ac:dyDescent="0.2">
      <c r="A92" s="30" t="s">
        <v>485</v>
      </c>
      <c r="B92" s="29">
        <v>11829830</v>
      </c>
      <c r="C92" s="30" t="s">
        <v>317</v>
      </c>
      <c r="D92" s="232"/>
      <c r="E92" s="32">
        <f t="shared" si="1"/>
        <v>1</v>
      </c>
      <c r="F92" t="s">
        <v>3447</v>
      </c>
      <c r="G92" t="s">
        <v>212</v>
      </c>
      <c r="H92" t="s">
        <v>3446</v>
      </c>
      <c r="I92">
        <v>232.80892944335938</v>
      </c>
      <c r="J92" t="s">
        <v>3448</v>
      </c>
      <c r="K92">
        <v>207</v>
      </c>
      <c r="L92">
        <v>61.099998474121094</v>
      </c>
      <c r="M92">
        <v>70.599998474121094</v>
      </c>
    </row>
    <row r="93" spans="1:13" ht="41.25" customHeight="1" x14ac:dyDescent="0.2">
      <c r="A93" s="25" t="s">
        <v>56</v>
      </c>
      <c r="B93" s="29">
        <v>6333684</v>
      </c>
      <c r="C93" s="29" t="s">
        <v>57</v>
      </c>
      <c r="D93" s="220"/>
      <c r="E93" s="32">
        <f t="shared" si="1"/>
        <v>1</v>
      </c>
      <c r="F93" t="s">
        <v>3450</v>
      </c>
      <c r="G93" t="s">
        <v>3106</v>
      </c>
      <c r="H93" t="s">
        <v>3449</v>
      </c>
      <c r="I93">
        <v>309.27011108398438</v>
      </c>
      <c r="J93" t="s">
        <v>3451</v>
      </c>
      <c r="K93">
        <v>28</v>
      </c>
      <c r="L93">
        <v>60.700000762939453</v>
      </c>
      <c r="M93">
        <v>95.699996948242188</v>
      </c>
    </row>
    <row r="94" spans="1:13" ht="41.25" customHeight="1" x14ac:dyDescent="0.2">
      <c r="A94" s="36" t="s">
        <v>502</v>
      </c>
      <c r="B94">
        <v>13479505</v>
      </c>
      <c r="C94" t="s">
        <v>385</v>
      </c>
      <c r="D94" s="152"/>
      <c r="E94" s="32">
        <f t="shared" si="1"/>
        <v>1</v>
      </c>
      <c r="F94" t="s">
        <v>3453</v>
      </c>
      <c r="G94" t="s">
        <v>212</v>
      </c>
      <c r="H94" t="s">
        <v>3452</v>
      </c>
      <c r="I94">
        <v>280.82379150390625</v>
      </c>
      <c r="J94" t="s">
        <v>3454</v>
      </c>
      <c r="K94">
        <v>195</v>
      </c>
      <c r="L94">
        <v>60.5</v>
      </c>
      <c r="M94">
        <v>80.400001525878906</v>
      </c>
    </row>
    <row r="95" spans="1:13" ht="41.25" customHeight="1" x14ac:dyDescent="0.2">
      <c r="A95" s="25" t="s">
        <v>112</v>
      </c>
      <c r="B95" s="29">
        <v>11206502</v>
      </c>
      <c r="C95" s="29" t="s">
        <v>113</v>
      </c>
      <c r="D95" s="160"/>
      <c r="E95" s="32">
        <f t="shared" si="1"/>
        <v>1</v>
      </c>
      <c r="F95" t="s">
        <v>3456</v>
      </c>
      <c r="G95" s="36" t="s">
        <v>210</v>
      </c>
      <c r="H95" t="s">
        <v>3455</v>
      </c>
      <c r="I95">
        <v>323</v>
      </c>
      <c r="J95" t="s">
        <v>3457</v>
      </c>
      <c r="K95">
        <v>147</v>
      </c>
      <c r="L95">
        <v>60</v>
      </c>
      <c r="M95">
        <v>100</v>
      </c>
    </row>
    <row r="96" spans="1:13" ht="41.25" customHeight="1" x14ac:dyDescent="0.2">
      <c r="A96" s="25" t="s">
        <v>143</v>
      </c>
      <c r="B96" s="29">
        <v>13850042</v>
      </c>
      <c r="C96" s="29" t="s">
        <v>144</v>
      </c>
      <c r="D96" s="162"/>
      <c r="E96" s="32">
        <f t="shared" si="1"/>
        <v>1</v>
      </c>
      <c r="F96" t="s">
        <v>3459</v>
      </c>
      <c r="G96" t="s">
        <v>3109</v>
      </c>
      <c r="H96" t="s">
        <v>3458</v>
      </c>
      <c r="I96">
        <v>293.840087890625</v>
      </c>
      <c r="J96" t="s">
        <v>3460</v>
      </c>
      <c r="K96">
        <v>288</v>
      </c>
      <c r="L96">
        <v>59.700000762939453</v>
      </c>
      <c r="M96">
        <v>82.699996948242188</v>
      </c>
    </row>
    <row r="97" spans="1:13" ht="41.25" customHeight="1" x14ac:dyDescent="0.2">
      <c r="A97" s="1" t="s">
        <v>490</v>
      </c>
      <c r="B97">
        <v>4991263</v>
      </c>
      <c r="C97" t="s">
        <v>415</v>
      </c>
      <c r="D97" s="100"/>
      <c r="E97" s="32">
        <f t="shared" si="1"/>
        <v>1</v>
      </c>
      <c r="F97" t="s">
        <v>3462</v>
      </c>
      <c r="G97" t="s">
        <v>212</v>
      </c>
      <c r="H97" t="s">
        <v>3461</v>
      </c>
      <c r="I97">
        <v>91.749656677246094</v>
      </c>
      <c r="J97" t="s">
        <v>3463</v>
      </c>
      <c r="K97">
        <v>227</v>
      </c>
      <c r="L97">
        <v>59.200000762939453</v>
      </c>
      <c r="M97">
        <v>29.799999237060547</v>
      </c>
    </row>
    <row r="98" spans="1:13" ht="41.25" customHeight="1" x14ac:dyDescent="0.2">
      <c r="A98" s="30" t="s">
        <v>447</v>
      </c>
      <c r="B98" s="29">
        <v>11823615</v>
      </c>
      <c r="C98" s="29" t="s">
        <v>117</v>
      </c>
      <c r="D98" s="123"/>
      <c r="E98" s="32">
        <f t="shared" si="1"/>
        <v>1</v>
      </c>
      <c r="F98" t="s">
        <v>3465</v>
      </c>
      <c r="G98" t="s">
        <v>214</v>
      </c>
      <c r="H98" t="s">
        <v>3464</v>
      </c>
      <c r="I98">
        <v>329.31747436523438</v>
      </c>
      <c r="J98" t="s">
        <v>3466</v>
      </c>
      <c r="K98">
        <v>330</v>
      </c>
      <c r="L98">
        <v>58.799999237060547</v>
      </c>
      <c r="M98">
        <v>100</v>
      </c>
    </row>
    <row r="99" spans="1:13" ht="41.25" customHeight="1" x14ac:dyDescent="0.2">
      <c r="A99" s="30" t="s">
        <v>492</v>
      </c>
      <c r="B99" s="29">
        <v>15570276</v>
      </c>
      <c r="C99" s="30" t="s">
        <v>301</v>
      </c>
      <c r="D99" s="67"/>
      <c r="E99" s="32">
        <f t="shared" si="1"/>
        <v>1</v>
      </c>
      <c r="F99" t="s">
        <v>3468</v>
      </c>
      <c r="G99" s="38" t="s">
        <v>212</v>
      </c>
      <c r="H99" t="s">
        <v>3467</v>
      </c>
      <c r="I99">
        <v>297.27093505859375</v>
      </c>
      <c r="J99" t="s">
        <v>3469</v>
      </c>
      <c r="K99">
        <v>219</v>
      </c>
      <c r="L99">
        <v>57.799999237060547</v>
      </c>
      <c r="M99">
        <v>92.900001525878906</v>
      </c>
    </row>
    <row r="100" spans="1:13" ht="41.25" customHeight="1" x14ac:dyDescent="0.2">
      <c r="A100" s="34" t="s">
        <v>464</v>
      </c>
      <c r="B100">
        <v>7417960</v>
      </c>
      <c r="C100" t="s">
        <v>381</v>
      </c>
      <c r="D100" s="97"/>
      <c r="E100" s="32">
        <f t="shared" si="1"/>
        <v>1</v>
      </c>
      <c r="F100" t="s">
        <v>3470</v>
      </c>
      <c r="G100" t="s">
        <v>3109</v>
      </c>
      <c r="H100">
        <v>713068</v>
      </c>
      <c r="I100">
        <v>160.90058898925781</v>
      </c>
      <c r="J100" t="s">
        <v>3471</v>
      </c>
      <c r="K100">
        <v>292</v>
      </c>
      <c r="L100">
        <v>57.5</v>
      </c>
      <c r="M100">
        <v>44.299999237060547</v>
      </c>
    </row>
    <row r="101" spans="1:13" ht="41.25" customHeight="1" x14ac:dyDescent="0.2">
      <c r="A101" s="30" t="s">
        <v>478</v>
      </c>
      <c r="B101" s="29">
        <v>15624315</v>
      </c>
      <c r="C101" s="30" t="s">
        <v>310</v>
      </c>
      <c r="D101" s="165"/>
      <c r="E101" s="32">
        <f t="shared" si="1"/>
        <v>1</v>
      </c>
      <c r="F101" t="s">
        <v>3473</v>
      </c>
      <c r="G101" t="s">
        <v>213</v>
      </c>
      <c r="H101" t="s">
        <v>3472</v>
      </c>
      <c r="I101">
        <v>287.38302612304688</v>
      </c>
      <c r="J101" t="s">
        <v>3474</v>
      </c>
      <c r="K101">
        <v>249</v>
      </c>
      <c r="L101">
        <v>56.299999237060547</v>
      </c>
      <c r="M101">
        <v>93.300003051757813</v>
      </c>
    </row>
    <row r="102" spans="1:13" ht="41.25" customHeight="1" x14ac:dyDescent="0.2">
      <c r="A102" s="53" t="s">
        <v>358</v>
      </c>
      <c r="B102">
        <v>6594532</v>
      </c>
      <c r="C102" t="s">
        <v>359</v>
      </c>
      <c r="D102" s="151"/>
      <c r="E102" s="32">
        <f t="shared" si="1"/>
        <v>1</v>
      </c>
      <c r="F102" t="s">
        <v>3476</v>
      </c>
      <c r="G102" t="s">
        <v>3106</v>
      </c>
      <c r="H102" t="s">
        <v>3475</v>
      </c>
      <c r="I102">
        <v>295.406494140625</v>
      </c>
      <c r="J102" t="s">
        <v>3477</v>
      </c>
      <c r="K102">
        <v>28</v>
      </c>
      <c r="L102">
        <v>56.099998474121094</v>
      </c>
      <c r="M102">
        <v>89.400001525878906</v>
      </c>
    </row>
    <row r="103" spans="1:13" ht="41.25" customHeight="1" x14ac:dyDescent="0.2">
      <c r="A103" s="30" t="s">
        <v>484</v>
      </c>
      <c r="B103" s="29">
        <v>13458026</v>
      </c>
      <c r="C103" s="30" t="s">
        <v>316</v>
      </c>
      <c r="D103" s="227"/>
      <c r="E103" s="32">
        <f t="shared" si="1"/>
        <v>1</v>
      </c>
      <c r="F103" t="s">
        <v>3479</v>
      </c>
      <c r="G103" t="s">
        <v>213</v>
      </c>
      <c r="H103" t="s">
        <v>3478</v>
      </c>
      <c r="I103">
        <v>247.71153259277344</v>
      </c>
      <c r="J103" t="s">
        <v>3480</v>
      </c>
      <c r="K103">
        <v>248</v>
      </c>
      <c r="L103">
        <v>56.099998474121094</v>
      </c>
      <c r="M103">
        <v>80.400001525878906</v>
      </c>
    </row>
    <row r="104" spans="1:13" ht="41.25" customHeight="1" x14ac:dyDescent="0.2">
      <c r="A104" s="30" t="s">
        <v>470</v>
      </c>
      <c r="B104" s="29">
        <v>9125192</v>
      </c>
      <c r="C104" s="30" t="s">
        <v>303</v>
      </c>
      <c r="D104" s="85"/>
      <c r="E104" s="32">
        <f t="shared" si="1"/>
        <v>1</v>
      </c>
      <c r="F104" t="s">
        <v>3482</v>
      </c>
      <c r="G104" t="s">
        <v>213</v>
      </c>
      <c r="H104" t="s">
        <v>3481</v>
      </c>
      <c r="I104">
        <v>168.00595092773438</v>
      </c>
      <c r="J104" t="s">
        <v>3483</v>
      </c>
      <c r="K104">
        <v>248</v>
      </c>
      <c r="L104">
        <v>56.099998474121094</v>
      </c>
      <c r="M104">
        <v>54.5</v>
      </c>
    </row>
    <row r="105" spans="1:13" ht="41.25" customHeight="1" x14ac:dyDescent="0.2">
      <c r="A105" s="25" t="s">
        <v>37</v>
      </c>
      <c r="B105" s="29">
        <v>3107669</v>
      </c>
      <c r="C105" s="29" t="s">
        <v>38</v>
      </c>
      <c r="D105" s="78"/>
      <c r="E105" s="32">
        <f t="shared" si="1"/>
        <v>1</v>
      </c>
      <c r="F105" t="s">
        <v>3485</v>
      </c>
      <c r="G105" s="36" t="s">
        <v>210</v>
      </c>
      <c r="H105" t="s">
        <v>3484</v>
      </c>
      <c r="I105">
        <v>144.509521484375</v>
      </c>
      <c r="J105" t="s">
        <v>3486</v>
      </c>
      <c r="K105">
        <v>82</v>
      </c>
      <c r="L105">
        <v>56.099998474121094</v>
      </c>
      <c r="M105">
        <v>42</v>
      </c>
    </row>
    <row r="106" spans="1:13" ht="41.25" customHeight="1" x14ac:dyDescent="0.2">
      <c r="A106" s="30" t="s">
        <v>454</v>
      </c>
      <c r="B106" s="29">
        <v>6053069</v>
      </c>
      <c r="C106" s="29" t="s">
        <v>55</v>
      </c>
      <c r="D106" s="124"/>
      <c r="E106" s="32">
        <f t="shared" si="1"/>
        <v>1</v>
      </c>
      <c r="F106" t="s">
        <v>3488</v>
      </c>
      <c r="G106" t="s">
        <v>208</v>
      </c>
      <c r="H106" t="s">
        <v>3487</v>
      </c>
      <c r="I106">
        <v>242.80238342285156</v>
      </c>
      <c r="J106" t="s">
        <v>3489</v>
      </c>
      <c r="K106">
        <v>0</v>
      </c>
      <c r="L106">
        <v>55.099998474121094</v>
      </c>
      <c r="M106">
        <v>80.400001525878906</v>
      </c>
    </row>
    <row r="107" spans="1:13" ht="41.25" customHeight="1" x14ac:dyDescent="0.2">
      <c r="A107" s="30" t="s">
        <v>432</v>
      </c>
      <c r="B107" s="29">
        <v>7071982</v>
      </c>
      <c r="C107" s="29" t="s">
        <v>64</v>
      </c>
      <c r="D107" s="192"/>
      <c r="E107" s="32">
        <f t="shared" si="1"/>
        <v>1</v>
      </c>
      <c r="F107" t="s">
        <v>3491</v>
      </c>
      <c r="G107" t="s">
        <v>3107</v>
      </c>
      <c r="H107" t="s">
        <v>3490</v>
      </c>
      <c r="I107">
        <v>349.1661376953125</v>
      </c>
      <c r="J107" t="s">
        <v>3492</v>
      </c>
      <c r="K107">
        <v>57</v>
      </c>
      <c r="L107">
        <v>55</v>
      </c>
      <c r="M107">
        <v>93.300003051757813</v>
      </c>
    </row>
    <row r="108" spans="1:13" ht="41.25" customHeight="1" x14ac:dyDescent="0.2">
      <c r="A108" t="s">
        <v>279</v>
      </c>
      <c r="B108">
        <v>4547480</v>
      </c>
      <c r="C108" t="s">
        <v>409</v>
      </c>
      <c r="D108" s="170"/>
      <c r="E108" s="32">
        <f t="shared" si="1"/>
        <v>1</v>
      </c>
      <c r="F108" t="s">
        <v>3493</v>
      </c>
      <c r="G108" t="s">
        <v>3106</v>
      </c>
      <c r="H108">
        <v>456398</v>
      </c>
      <c r="I108">
        <v>194.07730102539063</v>
      </c>
      <c r="J108" t="s">
        <v>3494</v>
      </c>
      <c r="K108">
        <v>22</v>
      </c>
      <c r="L108">
        <v>54.599998474121094</v>
      </c>
      <c r="M108">
        <v>59.599998474121094</v>
      </c>
    </row>
    <row r="109" spans="1:13" ht="41.25" customHeight="1" x14ac:dyDescent="0.2">
      <c r="A109" s="60" t="s">
        <v>518</v>
      </c>
      <c r="B109">
        <v>6320179</v>
      </c>
      <c r="C109" t="s">
        <v>399</v>
      </c>
      <c r="D109" s="222"/>
      <c r="E109" s="32">
        <f t="shared" si="1"/>
        <v>1</v>
      </c>
      <c r="F109" t="s">
        <v>3495</v>
      </c>
      <c r="G109" s="36" t="s">
        <v>210</v>
      </c>
      <c r="H109">
        <v>607033</v>
      </c>
      <c r="I109">
        <v>156.08010864257813</v>
      </c>
      <c r="J109" t="s">
        <v>3496</v>
      </c>
      <c r="K109">
        <v>164</v>
      </c>
      <c r="L109">
        <v>54.5</v>
      </c>
      <c r="M109">
        <v>43.900001525878906</v>
      </c>
    </row>
    <row r="110" spans="1:13" ht="41.25" customHeight="1" x14ac:dyDescent="0.2">
      <c r="A110" s="30" t="s">
        <v>512</v>
      </c>
      <c r="B110" s="29">
        <v>7504122</v>
      </c>
      <c r="C110" s="29" t="s">
        <v>66</v>
      </c>
      <c r="D110" s="218"/>
      <c r="E110" s="32">
        <f t="shared" si="1"/>
        <v>1</v>
      </c>
      <c r="F110" t="s">
        <v>3498</v>
      </c>
      <c r="G110" t="s">
        <v>214</v>
      </c>
      <c r="H110" t="s">
        <v>3497</v>
      </c>
      <c r="I110">
        <v>303.11712646484375</v>
      </c>
      <c r="J110" t="s">
        <v>3499</v>
      </c>
      <c r="K110">
        <v>6</v>
      </c>
      <c r="L110">
        <v>54.400001525878906</v>
      </c>
      <c r="M110">
        <v>98</v>
      </c>
    </row>
    <row r="111" spans="1:13" ht="41.25" customHeight="1" x14ac:dyDescent="0.2">
      <c r="A111" s="49" t="s">
        <v>513</v>
      </c>
      <c r="B111">
        <v>7640054</v>
      </c>
      <c r="C111" t="s">
        <v>345</v>
      </c>
      <c r="D111" s="219"/>
      <c r="E111" s="32">
        <f t="shared" si="1"/>
        <v>1</v>
      </c>
      <c r="F111" t="s">
        <v>3501</v>
      </c>
      <c r="G111" t="s">
        <v>211</v>
      </c>
      <c r="H111" t="s">
        <v>3500</v>
      </c>
      <c r="I111">
        <v>309.16177368164063</v>
      </c>
      <c r="J111" t="s">
        <v>3502</v>
      </c>
      <c r="K111">
        <v>14</v>
      </c>
      <c r="L111">
        <v>52.799999237060547</v>
      </c>
      <c r="M111">
        <v>96.5</v>
      </c>
    </row>
    <row r="112" spans="1:13" ht="41.25" customHeight="1" x14ac:dyDescent="0.2">
      <c r="A112" s="30" t="s">
        <v>511</v>
      </c>
      <c r="B112" s="29">
        <v>8036607</v>
      </c>
      <c r="C112" s="29" t="s">
        <v>68</v>
      </c>
      <c r="D112" s="139"/>
      <c r="E112" s="32">
        <f t="shared" si="1"/>
        <v>1</v>
      </c>
      <c r="F112" t="s">
        <v>3504</v>
      </c>
      <c r="G112" t="s">
        <v>214</v>
      </c>
      <c r="H112" t="s">
        <v>3503</v>
      </c>
      <c r="I112">
        <v>324.82150268554688</v>
      </c>
      <c r="J112" t="s">
        <v>3505</v>
      </c>
      <c r="K112">
        <v>17</v>
      </c>
      <c r="L112">
        <v>52.200000762939453</v>
      </c>
      <c r="M112">
        <v>100</v>
      </c>
    </row>
    <row r="113" spans="1:13" ht="41.25" customHeight="1" x14ac:dyDescent="0.2">
      <c r="A113" s="53" t="s">
        <v>362</v>
      </c>
      <c r="B113">
        <v>5867703</v>
      </c>
      <c r="C113" s="60" t="s">
        <v>363</v>
      </c>
      <c r="D113" s="89"/>
      <c r="E113" s="32">
        <f t="shared" si="1"/>
        <v>1</v>
      </c>
      <c r="F113" t="s">
        <v>3507</v>
      </c>
      <c r="G113" t="s">
        <v>3106</v>
      </c>
      <c r="H113" t="s">
        <v>3506</v>
      </c>
      <c r="I113">
        <v>244.75701904296875</v>
      </c>
      <c r="J113" t="s">
        <v>3508</v>
      </c>
      <c r="K113">
        <v>30</v>
      </c>
      <c r="L113">
        <v>51.400001525878906</v>
      </c>
      <c r="M113">
        <v>71.800003051757813</v>
      </c>
    </row>
    <row r="114" spans="1:13" ht="41.25" customHeight="1" x14ac:dyDescent="0.2">
      <c r="A114" s="53" t="s">
        <v>390</v>
      </c>
      <c r="B114">
        <v>6341800</v>
      </c>
      <c r="C114" t="s">
        <v>391</v>
      </c>
      <c r="D114" s="231"/>
      <c r="E114" s="32">
        <f t="shared" si="1"/>
        <v>1</v>
      </c>
      <c r="F114" t="s">
        <v>3510</v>
      </c>
      <c r="G114" t="s">
        <v>3108</v>
      </c>
      <c r="H114" t="s">
        <v>3509</v>
      </c>
      <c r="I114">
        <v>275.419677734375</v>
      </c>
      <c r="J114" t="s">
        <v>3511</v>
      </c>
      <c r="K114">
        <v>77</v>
      </c>
      <c r="L114">
        <v>51</v>
      </c>
      <c r="M114">
        <v>76.900001525878906</v>
      </c>
    </row>
    <row r="115" spans="1:13" ht="41.25" customHeight="1" x14ac:dyDescent="0.2">
      <c r="A115" s="34" t="s">
        <v>489</v>
      </c>
      <c r="B115">
        <v>7748158</v>
      </c>
      <c r="C115" t="s">
        <v>387</v>
      </c>
      <c r="D115" s="48"/>
      <c r="E115" s="32">
        <f t="shared" si="1"/>
        <v>1</v>
      </c>
      <c r="F115" t="s">
        <v>3513</v>
      </c>
      <c r="G115" t="s">
        <v>213</v>
      </c>
      <c r="H115" t="s">
        <v>3512</v>
      </c>
      <c r="I115">
        <v>145.36849975585938</v>
      </c>
      <c r="J115" t="s">
        <v>3514</v>
      </c>
      <c r="K115">
        <v>244</v>
      </c>
      <c r="L115">
        <v>50.799999237060547</v>
      </c>
      <c r="M115">
        <v>46.299999237060547</v>
      </c>
    </row>
    <row r="116" spans="1:13" ht="41.25" customHeight="1" x14ac:dyDescent="0.2">
      <c r="A116" s="53" t="s">
        <v>392</v>
      </c>
      <c r="B116">
        <v>3236195</v>
      </c>
      <c r="C116" t="s">
        <v>393</v>
      </c>
      <c r="D116" s="179"/>
      <c r="E116" s="32">
        <f t="shared" si="1"/>
        <v>1</v>
      </c>
      <c r="F116" t="s">
        <v>3515</v>
      </c>
      <c r="G116" t="s">
        <v>3107</v>
      </c>
      <c r="H116">
        <v>316163</v>
      </c>
      <c r="I116">
        <v>147.00680541992188</v>
      </c>
      <c r="J116" t="s">
        <v>3516</v>
      </c>
      <c r="K116">
        <v>58</v>
      </c>
      <c r="L116">
        <v>50.5</v>
      </c>
      <c r="M116">
        <v>38.799999237060547</v>
      </c>
    </row>
    <row r="117" spans="1:13" ht="41.25" customHeight="1" x14ac:dyDescent="0.2">
      <c r="A117" s="25" t="s">
        <v>149</v>
      </c>
      <c r="B117" s="29">
        <v>13959039</v>
      </c>
      <c r="C117" s="29" t="s">
        <v>150</v>
      </c>
      <c r="D117" s="39"/>
      <c r="E117" s="32">
        <f t="shared" si="1"/>
        <v>1</v>
      </c>
      <c r="F117" t="s">
        <v>3518</v>
      </c>
      <c r="G117" s="36" t="s">
        <v>210</v>
      </c>
      <c r="H117" t="s">
        <v>3517</v>
      </c>
      <c r="I117">
        <v>355.10281372070313</v>
      </c>
      <c r="J117" t="s">
        <v>3519</v>
      </c>
      <c r="K117">
        <v>160</v>
      </c>
      <c r="L117">
        <v>50.200000762939453</v>
      </c>
      <c r="M117">
        <v>100</v>
      </c>
    </row>
    <row r="118" spans="1:13" ht="41.25" customHeight="1" x14ac:dyDescent="0.2">
      <c r="A118" s="49" t="s">
        <v>427</v>
      </c>
      <c r="B118">
        <v>6982100</v>
      </c>
      <c r="C118" t="s">
        <v>364</v>
      </c>
      <c r="D118" s="101"/>
      <c r="E118" s="32">
        <f t="shared" si="1"/>
        <v>1</v>
      </c>
      <c r="F118" t="s">
        <v>3521</v>
      </c>
      <c r="G118" t="s">
        <v>211</v>
      </c>
      <c r="H118" t="s">
        <v>3520</v>
      </c>
      <c r="I118">
        <v>273.76815795898438</v>
      </c>
      <c r="J118" t="s">
        <v>3522</v>
      </c>
      <c r="K118">
        <v>18</v>
      </c>
      <c r="L118">
        <v>50</v>
      </c>
      <c r="M118">
        <v>83.099998474121094</v>
      </c>
    </row>
    <row r="119" spans="1:13" ht="41.25" customHeight="1" x14ac:dyDescent="0.2">
      <c r="A119" s="1" t="s">
        <v>507</v>
      </c>
      <c r="B119">
        <v>3566157</v>
      </c>
      <c r="C119" t="s">
        <v>337</v>
      </c>
      <c r="D119" s="211"/>
      <c r="E119" s="32">
        <f t="shared" si="1"/>
        <v>1</v>
      </c>
      <c r="F119" t="s">
        <v>3524</v>
      </c>
      <c r="G119" s="36" t="s">
        <v>210</v>
      </c>
      <c r="H119" t="s">
        <v>3523</v>
      </c>
      <c r="I119">
        <v>141.70744323730469</v>
      </c>
      <c r="J119" t="s">
        <v>3525</v>
      </c>
      <c r="K119">
        <v>93</v>
      </c>
      <c r="L119">
        <v>49.099998474121094</v>
      </c>
      <c r="M119">
        <v>41.599998474121094</v>
      </c>
    </row>
    <row r="120" spans="1:13" ht="41.25" customHeight="1" x14ac:dyDescent="0.2">
      <c r="A120" s="30" t="s">
        <v>462</v>
      </c>
      <c r="B120" s="29">
        <v>14381203</v>
      </c>
      <c r="C120" s="29" t="s">
        <v>159</v>
      </c>
      <c r="D120" s="163"/>
      <c r="E120" s="32">
        <f t="shared" si="1"/>
        <v>1</v>
      </c>
      <c r="F120" t="s">
        <v>3527</v>
      </c>
      <c r="G120" t="s">
        <v>213</v>
      </c>
      <c r="H120" t="s">
        <v>3526</v>
      </c>
      <c r="I120">
        <v>286.555419921875</v>
      </c>
      <c r="J120" t="s">
        <v>3528</v>
      </c>
      <c r="K120">
        <v>260</v>
      </c>
      <c r="L120">
        <v>48.900001525878906</v>
      </c>
      <c r="M120">
        <v>85.900001525878906</v>
      </c>
    </row>
    <row r="121" spans="1:13" ht="41.25" customHeight="1" x14ac:dyDescent="0.2">
      <c r="A121" s="30" t="s">
        <v>435</v>
      </c>
      <c r="B121" s="29">
        <v>9662683</v>
      </c>
      <c r="C121" s="29" t="s">
        <v>101</v>
      </c>
      <c r="D121" s="195"/>
      <c r="E121" s="32">
        <f t="shared" si="1"/>
        <v>1</v>
      </c>
      <c r="F121" t="s">
        <v>3530</v>
      </c>
      <c r="G121" t="s">
        <v>214</v>
      </c>
      <c r="H121" t="s">
        <v>3529</v>
      </c>
      <c r="I121">
        <v>286.555419921875</v>
      </c>
      <c r="J121" t="s">
        <v>3531</v>
      </c>
      <c r="K121">
        <v>340</v>
      </c>
      <c r="L121">
        <v>48.900001525878906</v>
      </c>
      <c r="M121">
        <v>85.900001525878906</v>
      </c>
    </row>
    <row r="122" spans="1:13" ht="41.25" customHeight="1" x14ac:dyDescent="0.2">
      <c r="A122" s="25" t="s">
        <v>153</v>
      </c>
      <c r="B122" s="29">
        <v>14053594</v>
      </c>
      <c r="C122" s="29" t="s">
        <v>154</v>
      </c>
      <c r="D122" s="190"/>
      <c r="E122" s="32">
        <f t="shared" si="1"/>
        <v>1</v>
      </c>
      <c r="F122" t="s">
        <v>3533</v>
      </c>
      <c r="G122" t="s">
        <v>213</v>
      </c>
      <c r="H122" t="s">
        <v>3532</v>
      </c>
      <c r="I122">
        <v>325.36749267578125</v>
      </c>
      <c r="J122" t="s">
        <v>3534</v>
      </c>
      <c r="K122">
        <v>302</v>
      </c>
      <c r="L122">
        <v>48.599998474121094</v>
      </c>
      <c r="M122">
        <v>85.5</v>
      </c>
    </row>
    <row r="123" spans="1:13" ht="41.25" customHeight="1" x14ac:dyDescent="0.2">
      <c r="A123" s="30" t="s">
        <v>510</v>
      </c>
      <c r="B123" s="29">
        <v>8034025</v>
      </c>
      <c r="C123" s="29" t="s">
        <v>67</v>
      </c>
      <c r="D123" s="83"/>
      <c r="E123" s="32">
        <f t="shared" si="1"/>
        <v>1</v>
      </c>
      <c r="F123" t="s">
        <v>3536</v>
      </c>
      <c r="G123" t="s">
        <v>214</v>
      </c>
      <c r="H123" t="s">
        <v>3535</v>
      </c>
      <c r="I123">
        <v>302.77548217773438</v>
      </c>
      <c r="J123" t="s">
        <v>3537</v>
      </c>
      <c r="K123">
        <v>15</v>
      </c>
      <c r="L123">
        <v>47.599998474121094</v>
      </c>
      <c r="M123">
        <v>91.400001525878906</v>
      </c>
    </row>
    <row r="124" spans="1:13" ht="41.25" customHeight="1" x14ac:dyDescent="0.2">
      <c r="A124" s="30" t="s">
        <v>431</v>
      </c>
      <c r="B124" s="29">
        <v>8421616</v>
      </c>
      <c r="C124" s="29" t="s">
        <v>79</v>
      </c>
      <c r="D124" s="135"/>
      <c r="E124" s="32">
        <f t="shared" si="1"/>
        <v>1</v>
      </c>
      <c r="F124" t="s">
        <v>3539</v>
      </c>
      <c r="G124" t="s">
        <v>208</v>
      </c>
      <c r="H124" t="s">
        <v>3538</v>
      </c>
      <c r="I124">
        <v>300.61270141601563</v>
      </c>
      <c r="J124" t="s">
        <v>3540</v>
      </c>
      <c r="K124">
        <v>0</v>
      </c>
      <c r="L124">
        <v>46.700000762939453</v>
      </c>
      <c r="M124">
        <v>94.099998474121094</v>
      </c>
    </row>
    <row r="125" spans="1:13" ht="41.25" customHeight="1" x14ac:dyDescent="0.2">
      <c r="A125" s="30" t="s">
        <v>474</v>
      </c>
      <c r="B125" s="29">
        <v>16436871</v>
      </c>
      <c r="C125" s="30" t="s">
        <v>307</v>
      </c>
      <c r="D125" s="141"/>
      <c r="E125" s="32">
        <f t="shared" si="1"/>
        <v>1</v>
      </c>
      <c r="F125" t="s">
        <v>3542</v>
      </c>
      <c r="G125" t="s">
        <v>212</v>
      </c>
      <c r="H125" t="s">
        <v>3541</v>
      </c>
      <c r="I125">
        <v>350.94302368164063</v>
      </c>
      <c r="J125" t="s">
        <v>3543</v>
      </c>
      <c r="K125">
        <v>203</v>
      </c>
      <c r="L125">
        <v>46</v>
      </c>
      <c r="M125">
        <v>98</v>
      </c>
    </row>
    <row r="126" spans="1:13" ht="41.25" customHeight="1" x14ac:dyDescent="0.2">
      <c r="A126" s="34" t="s">
        <v>443</v>
      </c>
      <c r="B126">
        <v>8221137</v>
      </c>
      <c r="C126" t="s">
        <v>330</v>
      </c>
      <c r="D126" s="214"/>
      <c r="E126" s="32">
        <f t="shared" si="1"/>
        <v>1</v>
      </c>
      <c r="F126" t="s">
        <v>3545</v>
      </c>
      <c r="G126" t="s">
        <v>213</v>
      </c>
      <c r="H126" t="s">
        <v>3544</v>
      </c>
      <c r="I126">
        <v>268.46786499023438</v>
      </c>
      <c r="J126" t="s">
        <v>3546</v>
      </c>
      <c r="K126">
        <v>353</v>
      </c>
      <c r="L126">
        <v>45.900001525878906</v>
      </c>
      <c r="M126">
        <v>82</v>
      </c>
    </row>
    <row r="127" spans="1:13" ht="41.25" customHeight="1" x14ac:dyDescent="0.2">
      <c r="A127" s="25" t="s">
        <v>174</v>
      </c>
      <c r="B127" s="29">
        <v>15631086</v>
      </c>
      <c r="C127" s="29" t="s">
        <v>175</v>
      </c>
      <c r="D127" s="244"/>
      <c r="E127" s="32">
        <f t="shared" si="1"/>
        <v>1</v>
      </c>
      <c r="F127" t="s">
        <v>3548</v>
      </c>
      <c r="G127" t="s">
        <v>3109</v>
      </c>
      <c r="H127" t="s">
        <v>3547</v>
      </c>
      <c r="I127">
        <v>360.81573486328125</v>
      </c>
      <c r="J127" t="s">
        <v>3549</v>
      </c>
      <c r="K127">
        <v>300</v>
      </c>
      <c r="L127">
        <v>45.400001525878906</v>
      </c>
      <c r="M127">
        <v>93.300003051757813</v>
      </c>
    </row>
    <row r="128" spans="1:13" ht="41.25" customHeight="1" x14ac:dyDescent="0.2">
      <c r="A128" s="60" t="s">
        <v>444</v>
      </c>
      <c r="B128">
        <v>4739459</v>
      </c>
      <c r="C128" t="s">
        <v>346</v>
      </c>
      <c r="D128" s="215"/>
      <c r="E128" s="32">
        <f t="shared" si="1"/>
        <v>1</v>
      </c>
      <c r="F128" t="s">
        <v>3550</v>
      </c>
      <c r="G128" t="s">
        <v>211</v>
      </c>
      <c r="H128">
        <v>485183</v>
      </c>
      <c r="I128">
        <v>170.01763916015625</v>
      </c>
      <c r="J128" t="s">
        <v>3551</v>
      </c>
      <c r="K128">
        <v>9</v>
      </c>
      <c r="L128">
        <v>45</v>
      </c>
      <c r="M128">
        <v>51.400001525878906</v>
      </c>
    </row>
    <row r="129" spans="1:13" ht="41.25" customHeight="1" x14ac:dyDescent="0.2">
      <c r="A129" s="49" t="s">
        <v>493</v>
      </c>
      <c r="B129">
        <v>12487530</v>
      </c>
      <c r="C129" t="s">
        <v>335</v>
      </c>
      <c r="D129" s="68"/>
      <c r="E129" s="32">
        <f t="shared" si="1"/>
        <v>1</v>
      </c>
      <c r="F129" t="s">
        <v>3553</v>
      </c>
      <c r="G129" t="s">
        <v>212</v>
      </c>
      <c r="H129" t="s">
        <v>3552</v>
      </c>
      <c r="I129">
        <v>258.18017578125</v>
      </c>
      <c r="J129" t="s">
        <v>3554</v>
      </c>
      <c r="K129">
        <v>216</v>
      </c>
      <c r="L129">
        <v>44.200000762939453</v>
      </c>
      <c r="M129">
        <v>74.5</v>
      </c>
    </row>
    <row r="130" spans="1:13" ht="41.25" customHeight="1" x14ac:dyDescent="0.2">
      <c r="A130" s="25" t="s">
        <v>62</v>
      </c>
      <c r="B130" s="29">
        <v>7059389</v>
      </c>
      <c r="C130" s="29" t="s">
        <v>63</v>
      </c>
      <c r="D130" s="76"/>
      <c r="E130" s="32">
        <f t="shared" si="1"/>
        <v>1</v>
      </c>
      <c r="F130" t="s">
        <v>3556</v>
      </c>
      <c r="G130" t="s">
        <v>3107</v>
      </c>
      <c r="H130" t="s">
        <v>3555</v>
      </c>
      <c r="I130">
        <v>284.00527954101563</v>
      </c>
      <c r="J130" t="s">
        <v>3557</v>
      </c>
      <c r="K130">
        <v>56</v>
      </c>
      <c r="L130">
        <v>43.400001525878906</v>
      </c>
      <c r="M130">
        <v>74.099998474121094</v>
      </c>
    </row>
    <row r="131" spans="1:13" ht="41.25" customHeight="1" x14ac:dyDescent="0.2">
      <c r="A131" s="53" t="s">
        <v>338</v>
      </c>
      <c r="B131">
        <v>6463066</v>
      </c>
      <c r="C131" t="s">
        <v>339</v>
      </c>
      <c r="D131" s="119"/>
      <c r="E131" s="32">
        <f t="shared" ref="E131:E194" si="2">COUNTIF($A$2:$A$220,A131)</f>
        <v>1</v>
      </c>
      <c r="F131" t="s">
        <v>3559</v>
      </c>
      <c r="G131" s="102" t="s">
        <v>210</v>
      </c>
      <c r="H131" t="s">
        <v>3558</v>
      </c>
      <c r="I131">
        <v>206.56233215332031</v>
      </c>
      <c r="J131" t="s">
        <v>3560</v>
      </c>
      <c r="K131">
        <v>127</v>
      </c>
      <c r="L131">
        <v>43</v>
      </c>
      <c r="M131">
        <v>62</v>
      </c>
    </row>
    <row r="132" spans="1:13" ht="41.25" customHeight="1" x14ac:dyDescent="0.2">
      <c r="A132" s="30" t="s">
        <v>483</v>
      </c>
      <c r="B132" s="29">
        <v>15453831</v>
      </c>
      <c r="C132" s="30" t="s">
        <v>315</v>
      </c>
      <c r="D132" s="226"/>
      <c r="E132" s="32">
        <f t="shared" si="2"/>
        <v>1</v>
      </c>
      <c r="F132" t="s">
        <v>3562</v>
      </c>
      <c r="G132" t="s">
        <v>212</v>
      </c>
      <c r="H132" t="s">
        <v>3561</v>
      </c>
      <c r="I132">
        <v>340.42031860351563</v>
      </c>
      <c r="J132" t="s">
        <v>3563</v>
      </c>
      <c r="K132">
        <v>197</v>
      </c>
      <c r="L132">
        <v>42.599998474121094</v>
      </c>
      <c r="M132">
        <v>92.199996948242188</v>
      </c>
    </row>
    <row r="133" spans="1:13" ht="41.25" customHeight="1" x14ac:dyDescent="0.2">
      <c r="A133" s="25" t="s">
        <v>91</v>
      </c>
      <c r="B133" s="29">
        <v>9234160</v>
      </c>
      <c r="C133" s="29" t="s">
        <v>92</v>
      </c>
      <c r="D133" s="128"/>
      <c r="E133" s="32">
        <f t="shared" si="2"/>
        <v>1</v>
      </c>
      <c r="F133" t="s">
        <v>3565</v>
      </c>
      <c r="G133" t="s">
        <v>3107</v>
      </c>
      <c r="H133" t="s">
        <v>3564</v>
      </c>
      <c r="I133">
        <v>360.69378662109375</v>
      </c>
      <c r="J133" t="s">
        <v>3566</v>
      </c>
      <c r="K133">
        <v>54</v>
      </c>
      <c r="L133">
        <v>41.700000762939453</v>
      </c>
      <c r="M133">
        <v>94.099998474121094</v>
      </c>
    </row>
    <row r="134" spans="1:13" ht="41.25" customHeight="1" x14ac:dyDescent="0.2">
      <c r="A134" s="30" t="s">
        <v>468</v>
      </c>
      <c r="B134" s="29">
        <v>10526303</v>
      </c>
      <c r="C134" s="30" t="s">
        <v>300</v>
      </c>
      <c r="D134" s="62"/>
      <c r="E134" s="32">
        <f t="shared" si="2"/>
        <v>1</v>
      </c>
      <c r="F134" t="s">
        <v>3568</v>
      </c>
      <c r="G134" t="s">
        <v>212</v>
      </c>
      <c r="H134" t="s">
        <v>3567</v>
      </c>
      <c r="I134">
        <v>244.10858154296875</v>
      </c>
      <c r="J134" t="s">
        <v>3569</v>
      </c>
      <c r="K134">
        <v>182</v>
      </c>
      <c r="L134">
        <v>40.599998474121094</v>
      </c>
      <c r="M134">
        <v>62.700000762939453</v>
      </c>
    </row>
    <row r="135" spans="1:13" ht="41.25" customHeight="1" x14ac:dyDescent="0.2">
      <c r="A135" s="25" t="s">
        <v>49</v>
      </c>
      <c r="B135" s="29">
        <v>5197615</v>
      </c>
      <c r="C135" s="29" t="s">
        <v>50</v>
      </c>
      <c r="D135" s="86"/>
      <c r="E135" s="32">
        <f t="shared" si="2"/>
        <v>1</v>
      </c>
      <c r="F135" t="s">
        <v>3571</v>
      </c>
      <c r="G135" s="36" t="s">
        <v>3011</v>
      </c>
      <c r="H135" t="s">
        <v>3570</v>
      </c>
      <c r="I135">
        <v>121.20643615722656</v>
      </c>
      <c r="J135" t="s">
        <v>3572</v>
      </c>
      <c r="K135">
        <v>180</v>
      </c>
      <c r="L135">
        <v>40.5</v>
      </c>
      <c r="M135">
        <v>31</v>
      </c>
    </row>
    <row r="136" spans="1:13" ht="41.25" customHeight="1" x14ac:dyDescent="0.2">
      <c r="A136" s="25" t="s">
        <v>51</v>
      </c>
      <c r="B136" s="29">
        <v>5197615</v>
      </c>
      <c r="C136" s="29" t="s">
        <v>52</v>
      </c>
      <c r="D136" s="86"/>
      <c r="E136" s="32">
        <f t="shared" si="2"/>
        <v>1</v>
      </c>
      <c r="F136" t="s">
        <v>3571</v>
      </c>
      <c r="G136" s="36" t="s">
        <v>3011</v>
      </c>
      <c r="H136" t="s">
        <v>3570</v>
      </c>
      <c r="I136">
        <v>121.20643615722656</v>
      </c>
      <c r="J136" t="s">
        <v>3572</v>
      </c>
      <c r="K136">
        <v>180</v>
      </c>
      <c r="L136">
        <v>40.5</v>
      </c>
      <c r="M136">
        <v>31</v>
      </c>
    </row>
    <row r="137" spans="1:13" ht="41.25" customHeight="1" x14ac:dyDescent="0.2">
      <c r="A137" s="25" t="s">
        <v>98</v>
      </c>
      <c r="B137" s="29">
        <v>9498256</v>
      </c>
      <c r="C137" s="29" t="s">
        <v>99</v>
      </c>
      <c r="D137" s="137"/>
      <c r="E137" s="32">
        <f t="shared" si="2"/>
        <v>1</v>
      </c>
      <c r="F137" t="s">
        <v>3574</v>
      </c>
      <c r="G137" s="102" t="s">
        <v>210</v>
      </c>
      <c r="H137" t="s">
        <v>3573</v>
      </c>
      <c r="I137">
        <v>313.2347412109375</v>
      </c>
      <c r="J137" t="s">
        <v>3575</v>
      </c>
      <c r="K137">
        <v>120</v>
      </c>
      <c r="L137">
        <v>39.5</v>
      </c>
      <c r="M137">
        <v>93.300003051757813</v>
      </c>
    </row>
    <row r="138" spans="1:13" ht="41.25" customHeight="1" x14ac:dyDescent="0.2">
      <c r="A138" s="28" t="s">
        <v>433</v>
      </c>
      <c r="B138" s="29">
        <v>10025880</v>
      </c>
      <c r="C138" s="29" t="s">
        <v>102</v>
      </c>
      <c r="D138" s="193"/>
      <c r="E138" s="32">
        <f t="shared" si="2"/>
        <v>1</v>
      </c>
      <c r="F138" t="s">
        <v>3577</v>
      </c>
      <c r="G138" s="102" t="s">
        <v>210</v>
      </c>
      <c r="H138" t="s">
        <v>3576</v>
      </c>
      <c r="I138">
        <v>330.46786499023438</v>
      </c>
      <c r="J138" t="s">
        <v>3578</v>
      </c>
      <c r="K138">
        <v>120</v>
      </c>
      <c r="L138">
        <v>39.400001525878906</v>
      </c>
      <c r="M138">
        <v>98.400001525878906</v>
      </c>
    </row>
    <row r="139" spans="1:13" ht="41.25" customHeight="1" x14ac:dyDescent="0.2">
      <c r="A139" s="30" t="s">
        <v>459</v>
      </c>
      <c r="B139" s="29">
        <v>8894686</v>
      </c>
      <c r="C139" s="29" t="s">
        <v>83</v>
      </c>
      <c r="D139" s="59"/>
      <c r="E139" s="32">
        <f t="shared" si="2"/>
        <v>1</v>
      </c>
      <c r="F139" t="s">
        <v>3580</v>
      </c>
      <c r="G139" t="s">
        <v>3106</v>
      </c>
      <c r="H139" t="s">
        <v>3579</v>
      </c>
      <c r="I139">
        <v>318.37869262695313</v>
      </c>
      <c r="J139" t="s">
        <v>3581</v>
      </c>
      <c r="K139">
        <v>34</v>
      </c>
      <c r="L139">
        <v>39.200000762939453</v>
      </c>
      <c r="M139">
        <v>87.099998474121094</v>
      </c>
    </row>
    <row r="140" spans="1:13" ht="41.25" customHeight="1" x14ac:dyDescent="0.2">
      <c r="A140" s="60" t="s">
        <v>439</v>
      </c>
      <c r="B140">
        <v>10282751</v>
      </c>
      <c r="C140" t="s">
        <v>352</v>
      </c>
      <c r="D140" s="201"/>
      <c r="E140" s="32">
        <f t="shared" si="2"/>
        <v>1</v>
      </c>
      <c r="F140" t="s">
        <v>3583</v>
      </c>
      <c r="G140" t="s">
        <v>3107</v>
      </c>
      <c r="H140" t="s">
        <v>3582</v>
      </c>
      <c r="I140">
        <v>377.17501831054688</v>
      </c>
      <c r="J140" t="s">
        <v>3584</v>
      </c>
      <c r="K140">
        <v>45</v>
      </c>
      <c r="L140">
        <v>38.799999237060547</v>
      </c>
      <c r="M140">
        <v>100</v>
      </c>
    </row>
    <row r="141" spans="1:13" ht="41.25" customHeight="1" x14ac:dyDescent="0.2">
      <c r="A141" s="49" t="s">
        <v>441</v>
      </c>
      <c r="B141">
        <v>8549823</v>
      </c>
      <c r="C141" t="s">
        <v>372</v>
      </c>
      <c r="D141" s="150"/>
      <c r="E141" s="32">
        <f t="shared" si="2"/>
        <v>1</v>
      </c>
      <c r="F141" t="s">
        <v>3586</v>
      </c>
      <c r="G141" t="s">
        <v>213</v>
      </c>
      <c r="H141" t="s">
        <v>3585</v>
      </c>
      <c r="I141">
        <v>258.978759765625</v>
      </c>
      <c r="J141" t="s">
        <v>3587</v>
      </c>
      <c r="K141">
        <v>349</v>
      </c>
      <c r="L141">
        <v>38.700000762939453</v>
      </c>
      <c r="M141">
        <v>74.900001525878906</v>
      </c>
    </row>
    <row r="142" spans="1:13" ht="41.25" customHeight="1" x14ac:dyDescent="0.2">
      <c r="A142" s="49" t="s">
        <v>505</v>
      </c>
      <c r="B142">
        <v>5269122</v>
      </c>
      <c r="C142" t="s">
        <v>341</v>
      </c>
      <c r="D142" s="50"/>
      <c r="E142" s="32">
        <f t="shared" si="2"/>
        <v>1</v>
      </c>
      <c r="F142" t="s">
        <v>3588</v>
      </c>
      <c r="G142" t="s">
        <v>3106</v>
      </c>
      <c r="H142">
        <v>506682</v>
      </c>
      <c r="I142">
        <v>183.58648681640625</v>
      </c>
      <c r="J142" t="s">
        <v>3589</v>
      </c>
      <c r="K142">
        <v>26</v>
      </c>
      <c r="L142">
        <v>38.5</v>
      </c>
      <c r="M142">
        <v>51</v>
      </c>
    </row>
    <row r="143" spans="1:13" ht="41.25" customHeight="1" x14ac:dyDescent="0.2">
      <c r="A143" s="49" t="s">
        <v>497</v>
      </c>
      <c r="B143">
        <v>7780796</v>
      </c>
      <c r="C143" t="s">
        <v>389</v>
      </c>
      <c r="D143" s="200"/>
      <c r="E143" s="32">
        <f t="shared" si="2"/>
        <v>1</v>
      </c>
      <c r="F143" t="s">
        <v>3591</v>
      </c>
      <c r="G143" t="s">
        <v>3107</v>
      </c>
      <c r="H143" t="s">
        <v>3590</v>
      </c>
      <c r="I143">
        <v>288.9515380859375</v>
      </c>
      <c r="J143" t="s">
        <v>3592</v>
      </c>
      <c r="K143">
        <v>57</v>
      </c>
      <c r="L143">
        <v>37.200000762939453</v>
      </c>
      <c r="M143">
        <v>73.699996948242188</v>
      </c>
    </row>
    <row r="144" spans="1:13" ht="41.25" customHeight="1" x14ac:dyDescent="0.2">
      <c r="A144" s="53" t="s">
        <v>284</v>
      </c>
      <c r="B144">
        <v>2703671</v>
      </c>
      <c r="C144" t="s">
        <v>398</v>
      </c>
      <c r="D144" s="93"/>
      <c r="E144" s="32">
        <f t="shared" si="2"/>
        <v>1</v>
      </c>
      <c r="F144" t="s">
        <v>3593</v>
      </c>
      <c r="G144" s="36" t="s">
        <v>210</v>
      </c>
      <c r="H144">
        <v>294137</v>
      </c>
      <c r="I144">
        <v>94.50396728515625</v>
      </c>
      <c r="J144" t="s">
        <v>3594</v>
      </c>
      <c r="K144">
        <v>85</v>
      </c>
      <c r="L144">
        <v>36.900001525878906</v>
      </c>
      <c r="M144">
        <v>25.5</v>
      </c>
    </row>
    <row r="145" spans="1:14" ht="41.25" customHeight="1" x14ac:dyDescent="0.2">
      <c r="A145" s="53" t="s">
        <v>379</v>
      </c>
      <c r="B145">
        <v>10709146</v>
      </c>
      <c r="C145" t="s">
        <v>380</v>
      </c>
      <c r="D145" s="95"/>
      <c r="E145" s="32">
        <f t="shared" si="2"/>
        <v>1</v>
      </c>
      <c r="F145" t="s">
        <v>3596</v>
      </c>
      <c r="G145" t="s">
        <v>3109</v>
      </c>
      <c r="H145" t="s">
        <v>3595</v>
      </c>
      <c r="I145">
        <v>247.1861572265625</v>
      </c>
      <c r="J145" t="s">
        <v>3597</v>
      </c>
      <c r="K145">
        <v>291</v>
      </c>
      <c r="L145">
        <v>36.200000762939453</v>
      </c>
      <c r="M145">
        <v>63.900001525878906</v>
      </c>
    </row>
    <row r="146" spans="1:14" ht="41.25" customHeight="1" x14ac:dyDescent="0.2">
      <c r="A146" t="s">
        <v>411</v>
      </c>
      <c r="B146">
        <v>13293195</v>
      </c>
      <c r="C146" t="s">
        <v>412</v>
      </c>
      <c r="D146" s="145"/>
      <c r="E146" s="32">
        <f t="shared" si="2"/>
        <v>1</v>
      </c>
      <c r="F146" t="s">
        <v>3599</v>
      </c>
      <c r="G146" t="s">
        <v>212</v>
      </c>
      <c r="H146" t="s">
        <v>3598</v>
      </c>
      <c r="I146">
        <v>325.455078125</v>
      </c>
      <c r="J146" t="s">
        <v>3600</v>
      </c>
      <c r="K146">
        <v>170</v>
      </c>
      <c r="L146">
        <v>35</v>
      </c>
      <c r="M146">
        <v>83.900001525878906</v>
      </c>
    </row>
    <row r="147" spans="1:14" ht="41.25" customHeight="1" x14ac:dyDescent="0.2">
      <c r="A147" s="81" t="s">
        <v>428</v>
      </c>
      <c r="B147" s="29">
        <v>9221330</v>
      </c>
      <c r="C147" s="29" t="s">
        <v>90</v>
      </c>
      <c r="D147" s="235"/>
      <c r="E147" s="32">
        <f t="shared" si="2"/>
        <v>1</v>
      </c>
      <c r="F147" t="s">
        <v>3602</v>
      </c>
      <c r="G147" t="s">
        <v>3106</v>
      </c>
      <c r="H147" t="s">
        <v>3601</v>
      </c>
      <c r="I147">
        <v>310</v>
      </c>
      <c r="J147" t="s">
        <v>3603</v>
      </c>
      <c r="K147">
        <v>34</v>
      </c>
      <c r="L147">
        <v>33.299999237060547</v>
      </c>
      <c r="M147">
        <v>82.400001525878906</v>
      </c>
      <c r="N147" s="182"/>
    </row>
    <row r="148" spans="1:14" ht="41.25" customHeight="1" x14ac:dyDescent="0.2">
      <c r="A148" s="28" t="s">
        <v>495</v>
      </c>
      <c r="B148" s="29">
        <v>11394815</v>
      </c>
      <c r="C148" s="29" t="s">
        <v>114</v>
      </c>
      <c r="D148" s="180"/>
      <c r="E148" s="32">
        <f t="shared" si="2"/>
        <v>1</v>
      </c>
      <c r="F148" t="s">
        <v>3605</v>
      </c>
      <c r="G148" t="s">
        <v>3106</v>
      </c>
      <c r="H148" t="s">
        <v>3604</v>
      </c>
      <c r="I148">
        <v>379.78677368164063</v>
      </c>
      <c r="J148" t="s">
        <v>3606</v>
      </c>
      <c r="K148">
        <v>36</v>
      </c>
      <c r="L148">
        <v>32.200000762939453</v>
      </c>
      <c r="M148">
        <v>100</v>
      </c>
    </row>
    <row r="149" spans="1:14" ht="41.25" customHeight="1" x14ac:dyDescent="0.2">
      <c r="A149" t="s">
        <v>347</v>
      </c>
      <c r="B149">
        <v>11266043</v>
      </c>
      <c r="C149" t="s">
        <v>348</v>
      </c>
      <c r="D149" s="242"/>
      <c r="E149" s="32">
        <f t="shared" si="2"/>
        <v>1</v>
      </c>
      <c r="F149" t="s">
        <v>3608</v>
      </c>
      <c r="G149" t="s">
        <v>3107</v>
      </c>
      <c r="H149" t="s">
        <v>3607</v>
      </c>
      <c r="I149">
        <v>381.57962036132813</v>
      </c>
      <c r="J149" t="s">
        <v>3609</v>
      </c>
      <c r="K149">
        <v>45</v>
      </c>
      <c r="L149">
        <v>31.899999618530273</v>
      </c>
      <c r="M149">
        <v>98.400001525878906</v>
      </c>
    </row>
    <row r="150" spans="1:14" ht="41.25" customHeight="1" x14ac:dyDescent="0.2">
      <c r="A150" s="49" t="s">
        <v>450</v>
      </c>
      <c r="B150">
        <v>13152511</v>
      </c>
      <c r="C150" t="s">
        <v>329</v>
      </c>
      <c r="D150" s="207"/>
      <c r="E150" s="32">
        <f t="shared" si="2"/>
        <v>1</v>
      </c>
      <c r="F150" t="s">
        <v>3611</v>
      </c>
      <c r="G150" t="s">
        <v>214</v>
      </c>
      <c r="H150" t="s">
        <v>3610</v>
      </c>
      <c r="I150">
        <v>368.78314208984375</v>
      </c>
      <c r="J150" t="s">
        <v>3612</v>
      </c>
      <c r="K150">
        <v>342</v>
      </c>
      <c r="L150">
        <v>31</v>
      </c>
      <c r="M150">
        <v>100</v>
      </c>
    </row>
    <row r="151" spans="1:14" ht="41.25" customHeight="1" x14ac:dyDescent="0.2">
      <c r="A151" s="49" t="s">
        <v>508</v>
      </c>
      <c r="B151">
        <v>5074509</v>
      </c>
      <c r="C151" t="s">
        <v>405</v>
      </c>
      <c r="D151" s="171"/>
      <c r="E151" s="32">
        <f t="shared" si="2"/>
        <v>1</v>
      </c>
      <c r="F151" t="s">
        <v>3614</v>
      </c>
      <c r="G151" s="102" t="s">
        <v>210</v>
      </c>
      <c r="H151" t="s">
        <v>3613</v>
      </c>
      <c r="I151">
        <v>154.78372192382813</v>
      </c>
      <c r="J151" t="s">
        <v>3615</v>
      </c>
      <c r="K151">
        <v>120</v>
      </c>
      <c r="L151">
        <v>30</v>
      </c>
      <c r="M151">
        <v>43.099998474121094</v>
      </c>
    </row>
    <row r="152" spans="1:14" ht="41.25" customHeight="1" x14ac:dyDescent="0.2">
      <c r="A152" s="25" t="s">
        <v>118</v>
      </c>
      <c r="B152" s="29">
        <v>11920639</v>
      </c>
      <c r="C152" s="29" t="s">
        <v>119</v>
      </c>
      <c r="D152" s="178"/>
      <c r="E152" s="32">
        <f t="shared" si="2"/>
        <v>1</v>
      </c>
      <c r="F152" t="s">
        <v>3617</v>
      </c>
      <c r="G152" t="s">
        <v>3106</v>
      </c>
      <c r="H152" t="s">
        <v>3616</v>
      </c>
      <c r="I152">
        <v>387.00128173828125</v>
      </c>
      <c r="J152" t="s">
        <v>3618</v>
      </c>
      <c r="K152">
        <v>38</v>
      </c>
      <c r="L152">
        <v>29</v>
      </c>
      <c r="M152">
        <v>100</v>
      </c>
    </row>
    <row r="153" spans="1:14" ht="41.25" customHeight="1" x14ac:dyDescent="0.2">
      <c r="A153" s="34" t="s">
        <v>476</v>
      </c>
      <c r="B153">
        <v>16571571</v>
      </c>
      <c r="C153" t="s">
        <v>384</v>
      </c>
      <c r="D153" s="146"/>
      <c r="E153" s="32">
        <f t="shared" si="2"/>
        <v>1</v>
      </c>
      <c r="F153" t="s">
        <v>3620</v>
      </c>
      <c r="G153" t="s">
        <v>212</v>
      </c>
      <c r="H153" t="s">
        <v>3619</v>
      </c>
      <c r="I153">
        <v>379.40084838867188</v>
      </c>
      <c r="J153" t="s">
        <v>3621</v>
      </c>
      <c r="K153">
        <v>206</v>
      </c>
      <c r="L153">
        <v>29</v>
      </c>
      <c r="M153">
        <v>98.800003051757813</v>
      </c>
    </row>
    <row r="154" spans="1:14" ht="41.25" customHeight="1" x14ac:dyDescent="0.2">
      <c r="A154" s="53" t="s">
        <v>394</v>
      </c>
      <c r="B154">
        <v>5203272</v>
      </c>
      <c r="C154" t="s">
        <v>395</v>
      </c>
      <c r="D154" s="127"/>
      <c r="E154" s="32">
        <f t="shared" si="2"/>
        <v>1</v>
      </c>
      <c r="F154" t="s">
        <v>3623</v>
      </c>
      <c r="G154" s="102" t="s">
        <v>210</v>
      </c>
      <c r="H154" t="s">
        <v>3622</v>
      </c>
      <c r="I154">
        <v>147.05781555175781</v>
      </c>
      <c r="J154" t="s">
        <v>3624</v>
      </c>
      <c r="K154">
        <v>134</v>
      </c>
      <c r="L154">
        <v>28.700000762939453</v>
      </c>
      <c r="M154">
        <v>39.599998474121094</v>
      </c>
    </row>
    <row r="155" spans="1:14" ht="41.25" customHeight="1" x14ac:dyDescent="0.2">
      <c r="A155" s="30" t="s">
        <v>448</v>
      </c>
      <c r="B155" s="29">
        <v>12695295</v>
      </c>
      <c r="C155" s="29" t="s">
        <v>124</v>
      </c>
      <c r="D155" s="138"/>
      <c r="E155" s="32">
        <f t="shared" si="2"/>
        <v>1</v>
      </c>
      <c r="F155" t="s">
        <v>3626</v>
      </c>
      <c r="G155" t="s">
        <v>214</v>
      </c>
      <c r="H155" t="s">
        <v>3625</v>
      </c>
      <c r="I155">
        <v>367.96466064453125</v>
      </c>
      <c r="J155" t="s">
        <v>3627</v>
      </c>
      <c r="K155">
        <v>351</v>
      </c>
      <c r="L155">
        <v>28.600000381469727</v>
      </c>
      <c r="M155">
        <v>100</v>
      </c>
    </row>
    <row r="156" spans="1:14" ht="41.25" customHeight="1" x14ac:dyDescent="0.2">
      <c r="A156" s="25" t="s">
        <v>165</v>
      </c>
      <c r="B156" s="29">
        <v>14524637</v>
      </c>
      <c r="C156" s="29" t="s">
        <v>166</v>
      </c>
      <c r="D156" s="208"/>
      <c r="E156" s="32">
        <f t="shared" si="2"/>
        <v>1</v>
      </c>
      <c r="F156" t="s">
        <v>3629</v>
      </c>
      <c r="G156" t="s">
        <v>3109</v>
      </c>
      <c r="H156" t="s">
        <v>3628</v>
      </c>
      <c r="I156">
        <v>351.1153564453125</v>
      </c>
      <c r="J156" t="s">
        <v>3630</v>
      </c>
      <c r="K156">
        <v>300</v>
      </c>
      <c r="L156">
        <v>27.600000381469727</v>
      </c>
      <c r="M156">
        <v>86.699996948242188</v>
      </c>
    </row>
    <row r="157" spans="1:14" ht="41.25" customHeight="1" x14ac:dyDescent="0.2">
      <c r="A157" s="25" t="s">
        <v>120</v>
      </c>
      <c r="B157" s="29">
        <v>12180223</v>
      </c>
      <c r="C157" s="29" t="s">
        <v>121</v>
      </c>
      <c r="D157" s="203"/>
      <c r="E157" s="32">
        <f t="shared" si="2"/>
        <v>1</v>
      </c>
      <c r="F157" t="s">
        <v>3632</v>
      </c>
      <c r="G157" t="s">
        <v>3106</v>
      </c>
      <c r="H157" t="s">
        <v>3631</v>
      </c>
      <c r="I157">
        <v>383.1109619140625</v>
      </c>
      <c r="J157" t="s">
        <v>3633</v>
      </c>
      <c r="K157">
        <v>28</v>
      </c>
      <c r="L157">
        <v>27.5</v>
      </c>
      <c r="M157">
        <v>100</v>
      </c>
    </row>
    <row r="158" spans="1:14" ht="41.25" customHeight="1" x14ac:dyDescent="0.2">
      <c r="A158" s="34" t="s">
        <v>504</v>
      </c>
      <c r="B158">
        <v>4412764</v>
      </c>
      <c r="C158" t="s">
        <v>404</v>
      </c>
      <c r="D158" s="35"/>
      <c r="E158" s="32">
        <f t="shared" si="2"/>
        <v>1</v>
      </c>
      <c r="F158" t="s">
        <v>3635</v>
      </c>
      <c r="G158" t="s">
        <v>3107</v>
      </c>
      <c r="H158" t="s">
        <v>3634</v>
      </c>
      <c r="I158">
        <v>142.04928588867188</v>
      </c>
      <c r="J158" t="s">
        <v>3636</v>
      </c>
      <c r="K158">
        <v>43</v>
      </c>
      <c r="L158">
        <v>27.200000762939453</v>
      </c>
      <c r="M158">
        <v>36.099998474121094</v>
      </c>
    </row>
    <row r="159" spans="1:14" ht="41.25" customHeight="1" x14ac:dyDescent="0.2">
      <c r="A159" s="25" t="s">
        <v>115</v>
      </c>
      <c r="B159" s="29">
        <v>11788021</v>
      </c>
      <c r="C159" s="29" t="s">
        <v>116</v>
      </c>
      <c r="D159" s="245"/>
      <c r="E159" s="32">
        <f t="shared" si="2"/>
        <v>1</v>
      </c>
      <c r="F159" t="s">
        <v>3638</v>
      </c>
      <c r="G159" t="s">
        <v>3106</v>
      </c>
      <c r="H159" t="s">
        <v>3637</v>
      </c>
      <c r="I159">
        <v>375.96542358398438</v>
      </c>
      <c r="J159" t="s">
        <v>3639</v>
      </c>
      <c r="K159">
        <v>39</v>
      </c>
      <c r="L159">
        <v>26.899999618530273</v>
      </c>
      <c r="M159">
        <v>96.099998474121094</v>
      </c>
    </row>
    <row r="160" spans="1:14" ht="41.25" customHeight="1" x14ac:dyDescent="0.2">
      <c r="A160" s="30" t="s">
        <v>434</v>
      </c>
      <c r="B160" s="29">
        <v>15658671</v>
      </c>
      <c r="C160" s="29" t="s">
        <v>176</v>
      </c>
      <c r="D160" s="194"/>
      <c r="E160" s="32">
        <f t="shared" si="2"/>
        <v>1</v>
      </c>
      <c r="F160" t="s">
        <v>3641</v>
      </c>
      <c r="G160" t="s">
        <v>212</v>
      </c>
      <c r="H160" t="s">
        <v>3640</v>
      </c>
      <c r="I160">
        <v>379.35867309570313</v>
      </c>
      <c r="J160" t="s">
        <v>3642</v>
      </c>
      <c r="K160">
        <v>180</v>
      </c>
      <c r="L160">
        <v>26.5</v>
      </c>
      <c r="M160">
        <v>93.300003051757813</v>
      </c>
    </row>
    <row r="161" spans="1:13" ht="41.25" customHeight="1" x14ac:dyDescent="0.2">
      <c r="A161" s="60" t="s">
        <v>437</v>
      </c>
      <c r="B161">
        <v>12572415</v>
      </c>
      <c r="C161" t="s">
        <v>369</v>
      </c>
      <c r="D161" s="198"/>
      <c r="E161" s="32">
        <f t="shared" si="2"/>
        <v>1</v>
      </c>
      <c r="F161" t="s">
        <v>3644</v>
      </c>
      <c r="G161" t="s">
        <v>3106</v>
      </c>
      <c r="H161" t="s">
        <v>3643</v>
      </c>
      <c r="I161">
        <v>383.7994384765625</v>
      </c>
      <c r="J161" t="s">
        <v>3645</v>
      </c>
      <c r="K161">
        <v>22</v>
      </c>
      <c r="L161">
        <v>25.100000381469727</v>
      </c>
      <c r="M161">
        <v>100</v>
      </c>
    </row>
    <row r="162" spans="1:13" ht="41.25" customHeight="1" x14ac:dyDescent="0.2">
      <c r="A162" s="53" t="s">
        <v>333</v>
      </c>
      <c r="B162">
        <v>12225723</v>
      </c>
      <c r="C162" t="s">
        <v>334</v>
      </c>
      <c r="D162" s="131"/>
      <c r="E162" s="32">
        <f t="shared" si="2"/>
        <v>1</v>
      </c>
      <c r="F162" t="s">
        <v>3647</v>
      </c>
      <c r="G162" t="s">
        <v>213</v>
      </c>
      <c r="H162" t="s">
        <v>3646</v>
      </c>
      <c r="I162">
        <v>298.6051025390625</v>
      </c>
      <c r="J162" t="s">
        <v>3648</v>
      </c>
      <c r="K162">
        <v>301</v>
      </c>
      <c r="L162">
        <v>25.100000381469727</v>
      </c>
      <c r="M162">
        <v>73.300003051757813</v>
      </c>
    </row>
    <row r="163" spans="1:13" ht="41.25" customHeight="1" x14ac:dyDescent="0.2">
      <c r="A163" s="30" t="s">
        <v>473</v>
      </c>
      <c r="B163" s="29">
        <v>15128749</v>
      </c>
      <c r="C163" s="30" t="s">
        <v>306</v>
      </c>
      <c r="D163" s="134"/>
      <c r="E163" s="32">
        <f t="shared" si="2"/>
        <v>1</v>
      </c>
      <c r="F163" t="s">
        <v>3650</v>
      </c>
      <c r="G163" t="s">
        <v>212</v>
      </c>
      <c r="H163" t="s">
        <v>3649</v>
      </c>
      <c r="I163">
        <v>359.84024047851563</v>
      </c>
      <c r="J163" t="s">
        <v>3651</v>
      </c>
      <c r="K163">
        <v>195</v>
      </c>
      <c r="L163">
        <v>24.799999237060547</v>
      </c>
      <c r="M163">
        <v>90.199996948242188</v>
      </c>
    </row>
    <row r="164" spans="1:13" ht="41.25" customHeight="1" x14ac:dyDescent="0.2">
      <c r="A164" s="30" t="s">
        <v>449</v>
      </c>
      <c r="B164" s="29">
        <v>13353215</v>
      </c>
      <c r="C164" s="29" t="s">
        <v>127</v>
      </c>
      <c r="D164" s="206"/>
      <c r="E164" s="32">
        <f t="shared" si="2"/>
        <v>1</v>
      </c>
      <c r="F164" t="s">
        <v>3653</v>
      </c>
      <c r="G164" t="s">
        <v>214</v>
      </c>
      <c r="H164" t="s">
        <v>3652</v>
      </c>
      <c r="I164">
        <v>378.282958984375</v>
      </c>
      <c r="J164" t="s">
        <v>3654</v>
      </c>
      <c r="K164">
        <v>350</v>
      </c>
      <c r="L164">
        <v>24.700000762939453</v>
      </c>
      <c r="M164">
        <v>100</v>
      </c>
    </row>
    <row r="165" spans="1:13" ht="41.25" customHeight="1" x14ac:dyDescent="0.2">
      <c r="A165" s="53" t="s">
        <v>353</v>
      </c>
      <c r="B165">
        <v>12779519</v>
      </c>
      <c r="C165" t="s">
        <v>354</v>
      </c>
      <c r="D165" s="234"/>
      <c r="E165" s="32">
        <f t="shared" si="2"/>
        <v>1</v>
      </c>
      <c r="F165" t="s">
        <v>3656</v>
      </c>
      <c r="G165" t="s">
        <v>3108</v>
      </c>
      <c r="H165" t="s">
        <v>3655</v>
      </c>
      <c r="I165">
        <v>409.49481201171875</v>
      </c>
      <c r="J165" t="s">
        <v>3657</v>
      </c>
      <c r="K165">
        <v>60</v>
      </c>
      <c r="L165">
        <v>23.899999618530273</v>
      </c>
      <c r="M165">
        <v>100</v>
      </c>
    </row>
    <row r="166" spans="1:13" ht="41.25" customHeight="1" x14ac:dyDescent="0.2">
      <c r="A166" s="25" t="s">
        <v>93</v>
      </c>
      <c r="B166" s="29">
        <v>9408444</v>
      </c>
      <c r="C166" s="29" t="s">
        <v>94</v>
      </c>
      <c r="D166" s="216"/>
      <c r="E166" s="32">
        <f t="shared" si="2"/>
        <v>1</v>
      </c>
      <c r="F166" t="s">
        <v>3659</v>
      </c>
      <c r="G166" t="s">
        <v>208</v>
      </c>
      <c r="H166" t="s">
        <v>3658</v>
      </c>
      <c r="I166">
        <v>276.11953735351563</v>
      </c>
      <c r="J166" t="s">
        <v>3660</v>
      </c>
      <c r="K166">
        <v>0</v>
      </c>
      <c r="L166">
        <v>23.899999618530273</v>
      </c>
      <c r="M166">
        <v>73.699996948242188</v>
      </c>
    </row>
    <row r="167" spans="1:13" ht="41.25" customHeight="1" x14ac:dyDescent="0.2">
      <c r="A167" s="28" t="s">
        <v>514</v>
      </c>
      <c r="B167" s="29">
        <v>9419919</v>
      </c>
      <c r="C167" s="29" t="s">
        <v>95</v>
      </c>
      <c r="D167" s="84"/>
      <c r="E167" s="32">
        <f t="shared" si="2"/>
        <v>1</v>
      </c>
      <c r="F167" t="s">
        <v>3662</v>
      </c>
      <c r="G167" s="102" t="s">
        <v>210</v>
      </c>
      <c r="H167" t="s">
        <v>3661</v>
      </c>
      <c r="I167">
        <v>276.11953735351563</v>
      </c>
      <c r="J167" t="s">
        <v>3663</v>
      </c>
      <c r="K167">
        <v>120</v>
      </c>
      <c r="L167">
        <v>23.899999618530273</v>
      </c>
      <c r="M167">
        <v>73.699996948242188</v>
      </c>
    </row>
    <row r="168" spans="1:13" ht="41.25" customHeight="1" x14ac:dyDescent="0.2">
      <c r="A168" s="30" t="s">
        <v>482</v>
      </c>
      <c r="B168" s="29">
        <v>15130800</v>
      </c>
      <c r="C168" s="30" t="s">
        <v>313</v>
      </c>
      <c r="D168" s="209"/>
      <c r="E168" s="32">
        <f t="shared" si="2"/>
        <v>1</v>
      </c>
      <c r="F168" t="s">
        <v>3665</v>
      </c>
      <c r="G168" t="s">
        <v>212</v>
      </c>
      <c r="H168" t="s">
        <v>3664</v>
      </c>
      <c r="I168">
        <v>366.13113403320313</v>
      </c>
      <c r="J168" t="s">
        <v>3666</v>
      </c>
      <c r="K168">
        <v>187</v>
      </c>
      <c r="L168">
        <v>23.5</v>
      </c>
      <c r="M168">
        <v>90.199996948242188</v>
      </c>
    </row>
    <row r="169" spans="1:13" ht="41.25" customHeight="1" x14ac:dyDescent="0.2">
      <c r="A169" s="25" t="s">
        <v>125</v>
      </c>
      <c r="B169" s="29">
        <v>12903679</v>
      </c>
      <c r="C169" s="29" t="s">
        <v>126</v>
      </c>
      <c r="D169" s="42"/>
      <c r="E169" s="32">
        <f t="shared" si="2"/>
        <v>1</v>
      </c>
      <c r="F169" t="s">
        <v>3668</v>
      </c>
      <c r="G169" t="s">
        <v>3106</v>
      </c>
      <c r="H169" t="s">
        <v>3667</v>
      </c>
      <c r="I169">
        <v>394.23977661132813</v>
      </c>
      <c r="J169" t="s">
        <v>3669</v>
      </c>
      <c r="K169">
        <v>33</v>
      </c>
      <c r="L169">
        <v>23.100000381469727</v>
      </c>
      <c r="M169">
        <v>100</v>
      </c>
    </row>
    <row r="170" spans="1:13" ht="41.25" customHeight="1" x14ac:dyDescent="0.2">
      <c r="A170" s="25" t="s">
        <v>103</v>
      </c>
      <c r="B170" s="29">
        <v>10061943</v>
      </c>
      <c r="C170" s="29" t="s">
        <v>104</v>
      </c>
      <c r="D170" s="142"/>
      <c r="E170" s="32">
        <f t="shared" si="2"/>
        <v>1</v>
      </c>
      <c r="F170" t="s">
        <v>3670</v>
      </c>
      <c r="G170" s="36" t="s">
        <v>3011</v>
      </c>
      <c r="H170">
        <v>998877</v>
      </c>
      <c r="I170">
        <v>236.78260803222656</v>
      </c>
      <c r="J170" t="s">
        <v>3671</v>
      </c>
      <c r="K170">
        <v>210</v>
      </c>
      <c r="L170">
        <v>22.200000762939453</v>
      </c>
      <c r="M170">
        <v>60</v>
      </c>
    </row>
    <row r="171" spans="1:13" ht="41.25" customHeight="1" x14ac:dyDescent="0.2">
      <c r="A171" s="25" t="s">
        <v>417</v>
      </c>
      <c r="B171" s="29">
        <v>10061943</v>
      </c>
      <c r="C171" s="29" t="s">
        <v>421</v>
      </c>
      <c r="D171" s="142"/>
      <c r="E171" s="32">
        <f t="shared" si="2"/>
        <v>1</v>
      </c>
      <c r="F171" t="s">
        <v>3670</v>
      </c>
      <c r="G171" s="36" t="s">
        <v>3011</v>
      </c>
      <c r="H171">
        <v>998877</v>
      </c>
      <c r="I171">
        <v>236.78260803222656</v>
      </c>
      <c r="J171" t="s">
        <v>3671</v>
      </c>
      <c r="K171">
        <v>210</v>
      </c>
      <c r="L171">
        <v>22.200000762939453</v>
      </c>
      <c r="M171">
        <v>60</v>
      </c>
    </row>
    <row r="172" spans="1:13" ht="41.25" customHeight="1" x14ac:dyDescent="0.2">
      <c r="A172" s="25" t="s">
        <v>96</v>
      </c>
      <c r="B172" s="29">
        <v>9470064</v>
      </c>
      <c r="C172" s="29" t="s">
        <v>97</v>
      </c>
      <c r="D172" s="228"/>
      <c r="E172" s="32">
        <f t="shared" si="2"/>
        <v>1</v>
      </c>
      <c r="F172" t="s">
        <v>3672</v>
      </c>
      <c r="G172" s="36" t="s">
        <v>3011</v>
      </c>
      <c r="H172">
        <v>908070</v>
      </c>
      <c r="I172">
        <v>222.85421752929688</v>
      </c>
      <c r="J172" t="s">
        <v>3673</v>
      </c>
      <c r="K172">
        <v>210</v>
      </c>
      <c r="L172">
        <v>22.200000762939453</v>
      </c>
      <c r="M172">
        <v>56.5</v>
      </c>
    </row>
    <row r="173" spans="1:13" ht="41.25" customHeight="1" x14ac:dyDescent="0.2">
      <c r="A173" s="25" t="s">
        <v>418</v>
      </c>
      <c r="B173" s="29">
        <v>9470064</v>
      </c>
      <c r="C173" s="29" t="s">
        <v>419</v>
      </c>
      <c r="D173" s="228"/>
      <c r="E173" s="32">
        <f t="shared" si="2"/>
        <v>1</v>
      </c>
      <c r="F173" t="s">
        <v>3672</v>
      </c>
      <c r="G173" s="36" t="s">
        <v>3011</v>
      </c>
      <c r="H173">
        <v>908070</v>
      </c>
      <c r="I173">
        <v>222.85421752929688</v>
      </c>
      <c r="J173" t="s">
        <v>3673</v>
      </c>
      <c r="K173">
        <v>210</v>
      </c>
      <c r="L173">
        <v>22.200000762939453</v>
      </c>
      <c r="M173">
        <v>56.5</v>
      </c>
    </row>
    <row r="174" spans="1:13" ht="41.25" customHeight="1" x14ac:dyDescent="0.2">
      <c r="A174" s="49" t="s">
        <v>496</v>
      </c>
      <c r="B174">
        <v>12776942</v>
      </c>
      <c r="C174" t="s">
        <v>388</v>
      </c>
      <c r="D174" s="197"/>
      <c r="E174" s="32">
        <f t="shared" si="2"/>
        <v>1</v>
      </c>
      <c r="F174" t="s">
        <v>3675</v>
      </c>
      <c r="G174" t="s">
        <v>3108</v>
      </c>
      <c r="H174" t="s">
        <v>3674</v>
      </c>
      <c r="I174">
        <v>392.81674194335938</v>
      </c>
      <c r="J174" t="s">
        <v>3676</v>
      </c>
      <c r="K174">
        <v>68</v>
      </c>
      <c r="L174">
        <v>20.799999237060547</v>
      </c>
      <c r="M174">
        <v>96.099998474121094</v>
      </c>
    </row>
    <row r="175" spans="1:13" ht="41.25" customHeight="1" x14ac:dyDescent="0.2">
      <c r="A175" s="30" t="s">
        <v>475</v>
      </c>
      <c r="B175" s="29">
        <v>14599344</v>
      </c>
      <c r="C175" s="30" t="s">
        <v>308</v>
      </c>
      <c r="D175" s="143"/>
      <c r="E175" s="32">
        <f t="shared" si="2"/>
        <v>1</v>
      </c>
      <c r="F175" t="s">
        <v>3678</v>
      </c>
      <c r="G175" t="s">
        <v>212</v>
      </c>
      <c r="H175" t="s">
        <v>3677</v>
      </c>
      <c r="I175">
        <v>344.49383544921875</v>
      </c>
      <c r="J175" t="s">
        <v>3679</v>
      </c>
      <c r="K175">
        <v>214</v>
      </c>
      <c r="L175">
        <v>20.700000762939453</v>
      </c>
      <c r="M175">
        <v>87.099998474121094</v>
      </c>
    </row>
    <row r="176" spans="1:13" ht="41.25" customHeight="1" x14ac:dyDescent="0.2">
      <c r="A176" s="53" t="s">
        <v>275</v>
      </c>
      <c r="B176">
        <v>13365503</v>
      </c>
      <c r="C176" t="s">
        <v>319</v>
      </c>
      <c r="D176" s="108"/>
      <c r="E176" s="32">
        <f t="shared" si="2"/>
        <v>1</v>
      </c>
      <c r="F176" t="s">
        <v>3681</v>
      </c>
      <c r="G176" t="s">
        <v>3107</v>
      </c>
      <c r="H176" t="s">
        <v>3680</v>
      </c>
      <c r="I176">
        <v>404.76412963867188</v>
      </c>
      <c r="J176" t="s">
        <v>3682</v>
      </c>
      <c r="K176">
        <v>43</v>
      </c>
      <c r="L176">
        <v>20.399999618530273</v>
      </c>
      <c r="M176">
        <v>100</v>
      </c>
    </row>
    <row r="177" spans="1:13" ht="41.25" customHeight="1" x14ac:dyDescent="0.2">
      <c r="A177" s="60" t="s">
        <v>438</v>
      </c>
      <c r="B177">
        <v>13421567</v>
      </c>
      <c r="C177" t="s">
        <v>370</v>
      </c>
      <c r="D177" s="199"/>
      <c r="E177" s="32">
        <f t="shared" si="2"/>
        <v>1</v>
      </c>
      <c r="F177" t="s">
        <v>3684</v>
      </c>
      <c r="G177" t="s">
        <v>214</v>
      </c>
      <c r="H177" t="s">
        <v>3683</v>
      </c>
      <c r="I177">
        <v>384.51266479492188</v>
      </c>
      <c r="J177" t="s">
        <v>3685</v>
      </c>
      <c r="K177">
        <v>359</v>
      </c>
      <c r="L177">
        <v>20.399999618530273</v>
      </c>
      <c r="M177">
        <v>100</v>
      </c>
    </row>
    <row r="178" spans="1:13" ht="41.25" customHeight="1" x14ac:dyDescent="0.2">
      <c r="A178" s="25" t="s">
        <v>132</v>
      </c>
      <c r="B178" s="29">
        <v>13495295</v>
      </c>
      <c r="C178" s="29" t="s">
        <v>133</v>
      </c>
      <c r="D178" s="44"/>
      <c r="E178" s="32">
        <f t="shared" si="2"/>
        <v>1</v>
      </c>
      <c r="F178" t="s">
        <v>3687</v>
      </c>
      <c r="G178" t="s">
        <v>3106</v>
      </c>
      <c r="H178" t="s">
        <v>3686</v>
      </c>
      <c r="I178">
        <v>402.83370971679688</v>
      </c>
      <c r="J178" t="s">
        <v>3688</v>
      </c>
      <c r="K178">
        <v>36</v>
      </c>
      <c r="L178">
        <v>19.600000381469727</v>
      </c>
      <c r="M178">
        <v>100</v>
      </c>
    </row>
    <row r="179" spans="1:13" ht="41.25" customHeight="1" x14ac:dyDescent="0.2">
      <c r="A179" s="25" t="s">
        <v>134</v>
      </c>
      <c r="B179" s="29">
        <v>13499135</v>
      </c>
      <c r="C179" s="29" t="s">
        <v>135</v>
      </c>
      <c r="D179" s="133"/>
      <c r="E179" s="32">
        <f t="shared" si="2"/>
        <v>1</v>
      </c>
      <c r="F179" t="s">
        <v>3690</v>
      </c>
      <c r="G179" t="s">
        <v>3107</v>
      </c>
      <c r="H179" t="s">
        <v>3689</v>
      </c>
      <c r="I179">
        <v>411.76449584960938</v>
      </c>
      <c r="J179" t="s">
        <v>3691</v>
      </c>
      <c r="K179">
        <v>54</v>
      </c>
      <c r="L179">
        <v>19.600000381469727</v>
      </c>
      <c r="M179">
        <v>100</v>
      </c>
    </row>
    <row r="180" spans="1:13" ht="41.25" customHeight="1" x14ac:dyDescent="0.2">
      <c r="A180" s="24" t="s">
        <v>151</v>
      </c>
      <c r="B180" s="29">
        <v>14020607</v>
      </c>
      <c r="C180" s="29" t="s">
        <v>152</v>
      </c>
      <c r="D180" s="202"/>
      <c r="E180" s="32">
        <f t="shared" si="2"/>
        <v>1</v>
      </c>
      <c r="F180" t="s">
        <v>3693</v>
      </c>
      <c r="G180" t="s">
        <v>3106</v>
      </c>
      <c r="H180" t="s">
        <v>3692</v>
      </c>
      <c r="I180">
        <v>409.28594970703125</v>
      </c>
      <c r="J180" t="s">
        <v>3694</v>
      </c>
      <c r="K180">
        <v>37</v>
      </c>
      <c r="L180">
        <v>16.5</v>
      </c>
      <c r="M180">
        <v>100</v>
      </c>
    </row>
    <row r="181" spans="1:13" ht="41.25" customHeight="1" x14ac:dyDescent="0.2">
      <c r="A181" s="30" t="s">
        <v>425</v>
      </c>
      <c r="B181" s="29">
        <v>13826810</v>
      </c>
      <c r="C181" s="29" t="s">
        <v>140</v>
      </c>
      <c r="D181" s="147"/>
      <c r="E181" s="32">
        <f t="shared" si="2"/>
        <v>1</v>
      </c>
      <c r="F181" t="s">
        <v>3696</v>
      </c>
      <c r="G181" t="s">
        <v>3108</v>
      </c>
      <c r="H181" t="s">
        <v>3695</v>
      </c>
      <c r="I181">
        <v>411.21771240234375</v>
      </c>
      <c r="J181" t="s">
        <v>3697</v>
      </c>
      <c r="K181">
        <v>60</v>
      </c>
      <c r="L181">
        <v>16</v>
      </c>
      <c r="M181">
        <v>98</v>
      </c>
    </row>
    <row r="182" spans="1:13" ht="41.25" customHeight="1" x14ac:dyDescent="0.2">
      <c r="A182" s="53" t="s">
        <v>377</v>
      </c>
      <c r="B182">
        <v>14597852</v>
      </c>
      <c r="C182" t="s">
        <v>378</v>
      </c>
      <c r="D182" s="148"/>
      <c r="E182" s="32">
        <f t="shared" si="2"/>
        <v>1</v>
      </c>
      <c r="F182" t="s">
        <v>3699</v>
      </c>
      <c r="G182" t="s">
        <v>3109</v>
      </c>
      <c r="H182" t="s">
        <v>3698</v>
      </c>
      <c r="I182">
        <v>365.76495361328125</v>
      </c>
      <c r="J182" t="s">
        <v>3700</v>
      </c>
      <c r="K182">
        <v>296</v>
      </c>
      <c r="L182">
        <v>14.399999618530273</v>
      </c>
      <c r="M182">
        <v>87.099998474121094</v>
      </c>
    </row>
    <row r="183" spans="1:13" ht="41.25" customHeight="1" x14ac:dyDescent="0.2">
      <c r="A183" s="25" t="s">
        <v>155</v>
      </c>
      <c r="B183" s="29">
        <v>14150650</v>
      </c>
      <c r="C183" s="29" t="s">
        <v>156</v>
      </c>
      <c r="D183" s="33"/>
      <c r="E183" s="32">
        <f t="shared" si="2"/>
        <v>1</v>
      </c>
      <c r="F183" t="s">
        <v>3702</v>
      </c>
      <c r="G183" t="s">
        <v>3106</v>
      </c>
      <c r="H183" t="s">
        <v>3701</v>
      </c>
      <c r="I183">
        <v>404.90740966796875</v>
      </c>
      <c r="J183" t="s">
        <v>3703</v>
      </c>
      <c r="K183">
        <v>34</v>
      </c>
      <c r="L183">
        <v>14</v>
      </c>
      <c r="M183">
        <v>98</v>
      </c>
    </row>
    <row r="184" spans="1:13" ht="41.25" customHeight="1" x14ac:dyDescent="0.2">
      <c r="A184" s="53" t="s">
        <v>402</v>
      </c>
      <c r="B184">
        <v>8023401</v>
      </c>
      <c r="C184" t="s">
        <v>403</v>
      </c>
      <c r="D184" s="94"/>
      <c r="E184" s="32">
        <f t="shared" si="2"/>
        <v>1</v>
      </c>
      <c r="F184" t="s">
        <v>3705</v>
      </c>
      <c r="G184" s="36" t="s">
        <v>3011</v>
      </c>
      <c r="H184" t="s">
        <v>3704</v>
      </c>
      <c r="I184">
        <v>194.39649963378906</v>
      </c>
      <c r="J184" t="s">
        <v>3706</v>
      </c>
      <c r="K184">
        <v>226</v>
      </c>
      <c r="L184">
        <v>13.899999618530273</v>
      </c>
      <c r="M184">
        <v>47.799999237060547</v>
      </c>
    </row>
    <row r="185" spans="1:13" ht="41.25" customHeight="1" x14ac:dyDescent="0.2">
      <c r="A185" s="30" t="s">
        <v>488</v>
      </c>
      <c r="B185" s="29">
        <v>14481663</v>
      </c>
      <c r="C185" s="29" t="s">
        <v>164</v>
      </c>
      <c r="D185" s="69"/>
      <c r="E185" s="32">
        <f t="shared" si="2"/>
        <v>1</v>
      </c>
      <c r="F185" t="s">
        <v>3708</v>
      </c>
      <c r="G185" t="s">
        <v>3107</v>
      </c>
      <c r="H185" t="s">
        <v>3707</v>
      </c>
      <c r="I185">
        <v>418.24514770507813</v>
      </c>
      <c r="J185" t="s">
        <v>3709</v>
      </c>
      <c r="K185">
        <v>48</v>
      </c>
      <c r="L185">
        <v>13.699999809265137</v>
      </c>
      <c r="M185">
        <v>100</v>
      </c>
    </row>
    <row r="186" spans="1:13" ht="41.25" customHeight="1" x14ac:dyDescent="0.2">
      <c r="A186" s="25" t="s">
        <v>167</v>
      </c>
      <c r="B186" s="29">
        <v>14745599</v>
      </c>
      <c r="C186" s="29" t="s">
        <v>168</v>
      </c>
      <c r="D186" s="144"/>
      <c r="E186" s="32">
        <f t="shared" si="2"/>
        <v>1</v>
      </c>
      <c r="F186" t="s">
        <v>3711</v>
      </c>
      <c r="G186" t="s">
        <v>3108</v>
      </c>
      <c r="H186" t="s">
        <v>3710</v>
      </c>
      <c r="I186">
        <v>424.53033447265625</v>
      </c>
      <c r="J186" t="s">
        <v>3712</v>
      </c>
      <c r="K186">
        <v>60</v>
      </c>
      <c r="L186">
        <v>12.199999809265137</v>
      </c>
      <c r="M186">
        <v>100</v>
      </c>
    </row>
    <row r="187" spans="1:13" ht="41.25" customHeight="1" x14ac:dyDescent="0.2">
      <c r="A187" s="30" t="s">
        <v>442</v>
      </c>
      <c r="B187" s="29">
        <v>14804223</v>
      </c>
      <c r="C187" s="29" t="s">
        <v>169</v>
      </c>
      <c r="D187" s="177"/>
      <c r="E187" s="32">
        <f t="shared" si="2"/>
        <v>1</v>
      </c>
      <c r="F187" t="s">
        <v>3714</v>
      </c>
      <c r="G187" t="s">
        <v>214</v>
      </c>
      <c r="H187" t="s">
        <v>3713</v>
      </c>
      <c r="I187">
        <v>409.43130493164063</v>
      </c>
      <c r="J187" t="s">
        <v>3715</v>
      </c>
      <c r="K187">
        <v>6</v>
      </c>
      <c r="L187">
        <v>11.800000190734863</v>
      </c>
      <c r="M187">
        <v>100</v>
      </c>
    </row>
    <row r="188" spans="1:13" ht="41.25" customHeight="1" x14ac:dyDescent="0.2">
      <c r="A188" s="25" t="s">
        <v>157</v>
      </c>
      <c r="B188" s="29">
        <v>14204888</v>
      </c>
      <c r="C188" s="29" t="s">
        <v>158</v>
      </c>
      <c r="D188" s="238"/>
      <c r="E188" s="32">
        <f t="shared" si="2"/>
        <v>1</v>
      </c>
      <c r="F188" t="s">
        <v>3717</v>
      </c>
      <c r="G188" t="s">
        <v>3109</v>
      </c>
      <c r="H188" t="s">
        <v>3716</v>
      </c>
      <c r="I188">
        <v>360.2679443359375</v>
      </c>
      <c r="J188" t="s">
        <v>3718</v>
      </c>
      <c r="K188">
        <v>300</v>
      </c>
      <c r="L188">
        <v>11.600000381469727</v>
      </c>
      <c r="M188">
        <v>84.699996948242188</v>
      </c>
    </row>
    <row r="189" spans="1:13" ht="41.25" customHeight="1" x14ac:dyDescent="0.2">
      <c r="A189" s="25" t="s">
        <v>162</v>
      </c>
      <c r="B189" s="29">
        <v>14480885</v>
      </c>
      <c r="C189" s="29" t="s">
        <v>163</v>
      </c>
      <c r="D189" s="41"/>
      <c r="E189" s="32">
        <f t="shared" si="2"/>
        <v>1</v>
      </c>
      <c r="F189" t="s">
        <v>3720</v>
      </c>
      <c r="G189" t="s">
        <v>3108</v>
      </c>
      <c r="H189" t="s">
        <v>3719</v>
      </c>
      <c r="I189">
        <v>410.42660522460938</v>
      </c>
      <c r="J189" t="s">
        <v>3721</v>
      </c>
      <c r="K189">
        <v>60</v>
      </c>
      <c r="L189">
        <v>10.199999809265137</v>
      </c>
      <c r="M189">
        <v>96.099998474121094</v>
      </c>
    </row>
    <row r="190" spans="1:13" ht="41.25" customHeight="1" x14ac:dyDescent="0.2">
      <c r="A190" s="25" t="s">
        <v>172</v>
      </c>
      <c r="B190" s="29">
        <v>15136253</v>
      </c>
      <c r="C190" s="29" t="s">
        <v>173</v>
      </c>
      <c r="D190" s="184"/>
      <c r="E190" s="32">
        <f t="shared" si="2"/>
        <v>1</v>
      </c>
      <c r="F190" t="s">
        <v>3723</v>
      </c>
      <c r="G190" t="s">
        <v>3106</v>
      </c>
      <c r="H190" t="s">
        <v>3722</v>
      </c>
      <c r="I190">
        <v>420.63522338867188</v>
      </c>
      <c r="J190" t="s">
        <v>3724</v>
      </c>
      <c r="K190">
        <v>39</v>
      </c>
      <c r="L190">
        <v>9.1000003814697266</v>
      </c>
      <c r="M190">
        <v>99.199996948242188</v>
      </c>
    </row>
    <row r="191" spans="1:13" ht="41.25" customHeight="1" x14ac:dyDescent="0.2">
      <c r="A191" s="25" t="s">
        <v>170</v>
      </c>
      <c r="B191" s="29">
        <v>15134970</v>
      </c>
      <c r="C191" s="29" t="s">
        <v>171</v>
      </c>
      <c r="D191" s="156"/>
      <c r="E191" s="32">
        <f t="shared" si="2"/>
        <v>1</v>
      </c>
      <c r="F191" t="s">
        <v>3726</v>
      </c>
      <c r="G191" t="s">
        <v>3106</v>
      </c>
      <c r="H191" t="s">
        <v>3725</v>
      </c>
      <c r="I191">
        <v>415.93267822265625</v>
      </c>
      <c r="J191" t="s">
        <v>3727</v>
      </c>
      <c r="K191">
        <v>30</v>
      </c>
      <c r="L191">
        <v>8</v>
      </c>
      <c r="M191">
        <v>98</v>
      </c>
    </row>
    <row r="192" spans="1:13" ht="41.25" customHeight="1" x14ac:dyDescent="0.2">
      <c r="A192" s="25" t="s">
        <v>188</v>
      </c>
      <c r="B192" s="29">
        <v>16443110</v>
      </c>
      <c r="C192" s="29" t="s">
        <v>189</v>
      </c>
      <c r="D192" s="129"/>
      <c r="E192" s="32">
        <f t="shared" si="2"/>
        <v>1</v>
      </c>
      <c r="F192" t="s">
        <v>3729</v>
      </c>
      <c r="G192" t="s">
        <v>213</v>
      </c>
      <c r="H192" t="s">
        <v>3728</v>
      </c>
      <c r="I192">
        <v>410.24383544921875</v>
      </c>
      <c r="J192" t="s">
        <v>3730</v>
      </c>
      <c r="K192">
        <v>240</v>
      </c>
      <c r="L192">
        <v>8</v>
      </c>
      <c r="M192">
        <v>98</v>
      </c>
    </row>
    <row r="193" spans="1:13" ht="41.25" customHeight="1" x14ac:dyDescent="0.2">
      <c r="A193" s="53" t="s">
        <v>273</v>
      </c>
      <c r="B193">
        <v>4538432</v>
      </c>
      <c r="C193" t="s">
        <v>342</v>
      </c>
      <c r="D193" s="205"/>
      <c r="E193" s="32">
        <f t="shared" si="2"/>
        <v>1</v>
      </c>
      <c r="F193" t="s">
        <v>3731</v>
      </c>
      <c r="G193" s="36" t="s">
        <v>3011</v>
      </c>
      <c r="H193">
        <v>454040</v>
      </c>
      <c r="I193">
        <v>113.81124877929688</v>
      </c>
      <c r="J193" t="s">
        <v>3732</v>
      </c>
      <c r="K193">
        <v>240</v>
      </c>
      <c r="L193">
        <v>7.1999998092651367</v>
      </c>
      <c r="M193">
        <v>27.100000381469727</v>
      </c>
    </row>
    <row r="194" spans="1:13" ht="41.25" customHeight="1" x14ac:dyDescent="0.2">
      <c r="A194" s="30" t="s">
        <v>519</v>
      </c>
      <c r="B194" s="29">
        <v>15660543</v>
      </c>
      <c r="C194" s="29" t="s">
        <v>177</v>
      </c>
      <c r="D194" s="223"/>
      <c r="E194" s="32">
        <f t="shared" si="2"/>
        <v>1</v>
      </c>
      <c r="F194" t="s">
        <v>3734</v>
      </c>
      <c r="G194" t="s">
        <v>3106</v>
      </c>
      <c r="H194" t="s">
        <v>3733</v>
      </c>
      <c r="I194">
        <v>426.25579833984375</v>
      </c>
      <c r="J194" t="s">
        <v>3735</v>
      </c>
      <c r="K194">
        <v>25</v>
      </c>
      <c r="L194">
        <v>6.6999998092651367</v>
      </c>
      <c r="M194">
        <v>100</v>
      </c>
    </row>
    <row r="195" spans="1:13" ht="41.25" customHeight="1" x14ac:dyDescent="0.2">
      <c r="A195" s="25" t="s">
        <v>178</v>
      </c>
      <c r="B195" s="29">
        <v>15792895</v>
      </c>
      <c r="C195" s="29" t="s">
        <v>179</v>
      </c>
      <c r="D195" s="110"/>
      <c r="E195" s="32">
        <f t="shared" ref="E195:E220" si="3">COUNTIF($A$2:$A$220,A195)</f>
        <v>1</v>
      </c>
      <c r="F195" t="s">
        <v>3737</v>
      </c>
      <c r="G195" t="s">
        <v>3107</v>
      </c>
      <c r="H195" t="s">
        <v>3736</v>
      </c>
      <c r="I195">
        <v>430.26153564453125</v>
      </c>
      <c r="J195" t="s">
        <v>3738</v>
      </c>
      <c r="K195">
        <v>40</v>
      </c>
      <c r="L195">
        <v>5.9000000953674316</v>
      </c>
      <c r="M195">
        <v>100</v>
      </c>
    </row>
    <row r="196" spans="1:13" ht="41.25" customHeight="1" x14ac:dyDescent="0.2">
      <c r="A196" s="25" t="s">
        <v>182</v>
      </c>
      <c r="B196" s="29">
        <v>15794175</v>
      </c>
      <c r="C196" s="29" t="s">
        <v>183</v>
      </c>
      <c r="D196" s="126"/>
      <c r="E196" s="32">
        <f t="shared" si="3"/>
        <v>1</v>
      </c>
      <c r="F196" t="s">
        <v>3740</v>
      </c>
      <c r="G196" t="s">
        <v>3108</v>
      </c>
      <c r="H196" t="s">
        <v>3739</v>
      </c>
      <c r="I196">
        <v>433.18588256835938</v>
      </c>
      <c r="J196" t="s">
        <v>3741</v>
      </c>
      <c r="K196">
        <v>60</v>
      </c>
      <c r="L196">
        <v>5.9000000953674316</v>
      </c>
      <c r="M196">
        <v>100</v>
      </c>
    </row>
    <row r="197" spans="1:13" ht="41.25" customHeight="1" x14ac:dyDescent="0.2">
      <c r="A197" s="25" t="s">
        <v>180</v>
      </c>
      <c r="B197" s="29">
        <v>15794160</v>
      </c>
      <c r="C197" s="29" t="s">
        <v>181</v>
      </c>
      <c r="D197" s="122"/>
      <c r="E197" s="32">
        <f t="shared" si="3"/>
        <v>1</v>
      </c>
      <c r="F197" t="s">
        <v>3743</v>
      </c>
      <c r="G197" s="102" t="s">
        <v>210</v>
      </c>
      <c r="H197" t="s">
        <v>3742</v>
      </c>
      <c r="I197">
        <v>424.52914428710938</v>
      </c>
      <c r="J197" t="s">
        <v>3744</v>
      </c>
      <c r="K197">
        <v>120</v>
      </c>
      <c r="L197">
        <v>5.9000000953674316</v>
      </c>
      <c r="M197">
        <v>100</v>
      </c>
    </row>
    <row r="198" spans="1:13" ht="41.25" customHeight="1" x14ac:dyDescent="0.2">
      <c r="A198" s="25" t="s">
        <v>201</v>
      </c>
      <c r="B198" s="29">
        <v>16777200</v>
      </c>
      <c r="C198" s="29" t="s">
        <v>202</v>
      </c>
      <c r="D198" s="40"/>
      <c r="E198" s="32">
        <f t="shared" si="3"/>
        <v>1</v>
      </c>
      <c r="F198" t="s">
        <v>3746</v>
      </c>
      <c r="G198" t="s">
        <v>212</v>
      </c>
      <c r="H198" t="s">
        <v>3745</v>
      </c>
      <c r="I198">
        <v>433.18588256835938</v>
      </c>
      <c r="J198" t="s">
        <v>3747</v>
      </c>
      <c r="K198">
        <v>180</v>
      </c>
      <c r="L198">
        <v>5.9000000953674316</v>
      </c>
      <c r="M198">
        <v>100</v>
      </c>
    </row>
    <row r="199" spans="1:13" ht="41.25" customHeight="1" x14ac:dyDescent="0.2">
      <c r="A199" s="28" t="s">
        <v>465</v>
      </c>
      <c r="B199" s="29">
        <v>16775408</v>
      </c>
      <c r="C199" s="30" t="s">
        <v>298</v>
      </c>
      <c r="D199" s="31"/>
      <c r="E199" s="32">
        <f t="shared" si="3"/>
        <v>1</v>
      </c>
      <c r="F199" t="s">
        <v>3749</v>
      </c>
      <c r="G199" t="s">
        <v>212</v>
      </c>
      <c r="H199" t="s">
        <v>3748</v>
      </c>
      <c r="I199">
        <v>429.1025390625</v>
      </c>
      <c r="J199" t="s">
        <v>3750</v>
      </c>
      <c r="K199">
        <v>208</v>
      </c>
      <c r="L199">
        <v>5.9000000953674316</v>
      </c>
      <c r="M199">
        <v>100</v>
      </c>
    </row>
    <row r="200" spans="1:13" ht="41.25" customHeight="1" x14ac:dyDescent="0.2">
      <c r="A200" s="25" t="s">
        <v>184</v>
      </c>
      <c r="B200" s="29">
        <v>16118015</v>
      </c>
      <c r="C200" s="29" t="s">
        <v>185</v>
      </c>
      <c r="D200" s="130"/>
      <c r="E200" s="32">
        <f t="shared" si="3"/>
        <v>1</v>
      </c>
      <c r="F200" t="s">
        <v>3752</v>
      </c>
      <c r="G200" t="s">
        <v>214</v>
      </c>
      <c r="H200" t="s">
        <v>3751</v>
      </c>
      <c r="I200">
        <v>427.37570190429688</v>
      </c>
      <c r="J200" t="s">
        <v>3753</v>
      </c>
      <c r="K200">
        <v>340</v>
      </c>
      <c r="L200">
        <v>5.9000000953674316</v>
      </c>
      <c r="M200">
        <v>100</v>
      </c>
    </row>
    <row r="201" spans="1:13" ht="41.25" customHeight="1" x14ac:dyDescent="0.2">
      <c r="A201" s="53" t="s">
        <v>276</v>
      </c>
      <c r="B201">
        <v>14669522</v>
      </c>
      <c r="C201" t="s">
        <v>340</v>
      </c>
      <c r="D201" s="121"/>
      <c r="E201" s="32">
        <f t="shared" si="3"/>
        <v>1</v>
      </c>
      <c r="F201" t="s">
        <v>3755</v>
      </c>
      <c r="G201" s="36" t="s">
        <v>3011</v>
      </c>
      <c r="H201" t="s">
        <v>3754</v>
      </c>
      <c r="I201">
        <v>373.66427612304688</v>
      </c>
      <c r="J201" t="s">
        <v>3756</v>
      </c>
      <c r="K201">
        <v>222</v>
      </c>
      <c r="L201">
        <v>5.8000001907348633</v>
      </c>
      <c r="M201">
        <v>87.5</v>
      </c>
    </row>
    <row r="202" spans="1:13" ht="41.25" customHeight="1" x14ac:dyDescent="0.2">
      <c r="A202" s="49" t="s">
        <v>486</v>
      </c>
      <c r="B202">
        <v>16579312</v>
      </c>
      <c r="C202" t="s">
        <v>383</v>
      </c>
      <c r="D202" s="243"/>
      <c r="E202" s="32">
        <f t="shared" si="3"/>
        <v>1</v>
      </c>
      <c r="F202" t="s">
        <v>3758</v>
      </c>
      <c r="G202" t="s">
        <v>212</v>
      </c>
      <c r="H202" t="s">
        <v>3757</v>
      </c>
      <c r="I202">
        <v>428.49038696289063</v>
      </c>
      <c r="J202" t="s">
        <v>3759</v>
      </c>
      <c r="K202">
        <v>190</v>
      </c>
      <c r="L202">
        <v>4.8000001907348633</v>
      </c>
      <c r="M202">
        <v>98.800003051757813</v>
      </c>
    </row>
    <row r="203" spans="1:13" ht="41.25" customHeight="1" x14ac:dyDescent="0.2">
      <c r="A203" s="25" t="s">
        <v>192</v>
      </c>
      <c r="B203" s="29">
        <v>16449525</v>
      </c>
      <c r="C203" s="29" t="s">
        <v>193</v>
      </c>
      <c r="D203" s="176"/>
      <c r="E203" s="32">
        <f t="shared" si="3"/>
        <v>1</v>
      </c>
      <c r="F203" t="s">
        <v>3761</v>
      </c>
      <c r="G203" t="s">
        <v>210</v>
      </c>
      <c r="H203" t="s">
        <v>3760</v>
      </c>
      <c r="I203">
        <v>433.0704345703125</v>
      </c>
      <c r="J203" t="s">
        <v>3762</v>
      </c>
      <c r="K203">
        <v>150</v>
      </c>
      <c r="L203">
        <v>3.9000000953674316</v>
      </c>
      <c r="M203">
        <v>100</v>
      </c>
    </row>
    <row r="204" spans="1:13" ht="41.25" customHeight="1" x14ac:dyDescent="0.2">
      <c r="A204" s="25" t="s">
        <v>197</v>
      </c>
      <c r="B204" s="29">
        <v>16775416</v>
      </c>
      <c r="C204" s="29" t="s">
        <v>198</v>
      </c>
      <c r="D204" s="114"/>
      <c r="E204" s="32">
        <f t="shared" si="3"/>
        <v>1</v>
      </c>
      <c r="F204" t="s">
        <v>3764</v>
      </c>
      <c r="G204" s="36" t="s">
        <v>3011</v>
      </c>
      <c r="H204" t="s">
        <v>3763</v>
      </c>
      <c r="I204">
        <v>433.62771606445313</v>
      </c>
      <c r="J204" t="s">
        <v>3765</v>
      </c>
      <c r="K204">
        <v>240</v>
      </c>
      <c r="L204">
        <v>2.7000000476837158</v>
      </c>
      <c r="M204">
        <v>100</v>
      </c>
    </row>
    <row r="205" spans="1:13" ht="41.25" customHeight="1" x14ac:dyDescent="0.2">
      <c r="A205" s="25" t="s">
        <v>190</v>
      </c>
      <c r="B205" s="29">
        <v>16448255</v>
      </c>
      <c r="C205" s="29" t="s">
        <v>191</v>
      </c>
      <c r="D205" s="229"/>
      <c r="E205" s="32">
        <f t="shared" si="3"/>
        <v>1</v>
      </c>
      <c r="F205" t="s">
        <v>3767</v>
      </c>
      <c r="G205" t="s">
        <v>3105</v>
      </c>
      <c r="H205" t="s">
        <v>3766</v>
      </c>
      <c r="I205">
        <v>435.9185791015625</v>
      </c>
      <c r="J205" t="s">
        <v>3768</v>
      </c>
      <c r="K205">
        <v>0</v>
      </c>
      <c r="L205">
        <v>2</v>
      </c>
      <c r="M205">
        <v>100</v>
      </c>
    </row>
    <row r="206" spans="1:13" ht="41.25" customHeight="1" x14ac:dyDescent="0.2">
      <c r="A206" s="25" t="s">
        <v>203</v>
      </c>
      <c r="B206" s="29">
        <v>16777215</v>
      </c>
      <c r="C206" s="29" t="s">
        <v>204</v>
      </c>
      <c r="D206" s="38"/>
      <c r="E206" s="32">
        <f t="shared" si="3"/>
        <v>1</v>
      </c>
      <c r="F206" t="s">
        <v>3770</v>
      </c>
      <c r="G206" t="s">
        <v>3105</v>
      </c>
      <c r="H206" t="s">
        <v>3769</v>
      </c>
      <c r="I206">
        <v>441.67294311523438</v>
      </c>
      <c r="J206" t="s">
        <v>3771</v>
      </c>
      <c r="K206">
        <v>0</v>
      </c>
      <c r="L206">
        <v>0</v>
      </c>
      <c r="M206">
        <v>100</v>
      </c>
    </row>
    <row r="207" spans="1:13" ht="41.25" customHeight="1" x14ac:dyDescent="0.2">
      <c r="A207" s="53" t="s">
        <v>274</v>
      </c>
      <c r="B207">
        <v>16777215</v>
      </c>
      <c r="C207" t="s">
        <v>318</v>
      </c>
      <c r="D207" s="38"/>
      <c r="E207" s="32">
        <f t="shared" si="3"/>
        <v>1</v>
      </c>
      <c r="F207" t="s">
        <v>3770</v>
      </c>
      <c r="G207" t="s">
        <v>3105</v>
      </c>
      <c r="H207" t="s">
        <v>3769</v>
      </c>
      <c r="I207">
        <v>441.67294311523438</v>
      </c>
      <c r="J207" t="s">
        <v>3771</v>
      </c>
      <c r="K207">
        <v>0</v>
      </c>
      <c r="L207">
        <v>0</v>
      </c>
      <c r="M207">
        <v>100</v>
      </c>
    </row>
    <row r="208" spans="1:13" ht="41.25" customHeight="1" x14ac:dyDescent="0.2">
      <c r="A208" s="25" t="s">
        <v>186</v>
      </c>
      <c r="B208" s="29">
        <v>16119285</v>
      </c>
      <c r="C208" s="29" t="s">
        <v>187</v>
      </c>
      <c r="D208" s="246"/>
      <c r="E208" s="32">
        <f t="shared" si="3"/>
        <v>1</v>
      </c>
      <c r="F208" t="s">
        <v>3773</v>
      </c>
      <c r="G208" t="s">
        <v>3105</v>
      </c>
      <c r="H208" t="s">
        <v>3772</v>
      </c>
      <c r="I208">
        <v>424.35244750976563</v>
      </c>
      <c r="J208" t="s">
        <v>3774</v>
      </c>
      <c r="K208">
        <v>0</v>
      </c>
      <c r="L208">
        <v>0</v>
      </c>
      <c r="M208">
        <v>96.099998474121094</v>
      </c>
    </row>
    <row r="209" spans="1:13" ht="41.25" customHeight="1" x14ac:dyDescent="0.2">
      <c r="A209" s="25" t="s">
        <v>160</v>
      </c>
      <c r="B209" s="29">
        <v>14474460</v>
      </c>
      <c r="C209" s="29" t="s">
        <v>161</v>
      </c>
      <c r="D209" s="113"/>
      <c r="E209" s="32">
        <f t="shared" si="3"/>
        <v>1</v>
      </c>
      <c r="F209" t="s">
        <v>3776</v>
      </c>
      <c r="G209" t="s">
        <v>3105</v>
      </c>
      <c r="H209" t="s">
        <v>3775</v>
      </c>
      <c r="I209">
        <v>381.05117797851563</v>
      </c>
      <c r="J209" t="s">
        <v>3777</v>
      </c>
      <c r="K209">
        <v>0</v>
      </c>
      <c r="L209">
        <v>0</v>
      </c>
      <c r="M209">
        <v>86.300003051757813</v>
      </c>
    </row>
    <row r="210" spans="1:13" ht="41.25" customHeight="1" x14ac:dyDescent="0.2">
      <c r="A210" s="25" t="s">
        <v>145</v>
      </c>
      <c r="B210" s="29">
        <v>13882323</v>
      </c>
      <c r="C210" s="29" t="s">
        <v>146</v>
      </c>
      <c r="D210" s="136"/>
      <c r="E210" s="32">
        <f t="shared" si="3"/>
        <v>1</v>
      </c>
      <c r="F210" t="s">
        <v>3779</v>
      </c>
      <c r="G210" t="s">
        <v>3105</v>
      </c>
      <c r="H210" t="s">
        <v>3778</v>
      </c>
      <c r="I210">
        <v>365.46270751953125</v>
      </c>
      <c r="J210" t="s">
        <v>3780</v>
      </c>
      <c r="K210">
        <v>0</v>
      </c>
      <c r="L210">
        <v>0</v>
      </c>
      <c r="M210">
        <v>82.699996948242188</v>
      </c>
    </row>
    <row r="211" spans="1:13" ht="41.25" customHeight="1" x14ac:dyDescent="0.2">
      <c r="A211" s="25" t="s">
        <v>147</v>
      </c>
      <c r="B211" s="29">
        <v>13882323</v>
      </c>
      <c r="C211" s="29" t="s">
        <v>148</v>
      </c>
      <c r="D211" s="136"/>
      <c r="E211" s="32">
        <f t="shared" si="3"/>
        <v>1</v>
      </c>
      <c r="F211" t="s">
        <v>3779</v>
      </c>
      <c r="G211" t="s">
        <v>3105</v>
      </c>
      <c r="H211" t="s">
        <v>3778</v>
      </c>
      <c r="I211">
        <v>365.46270751953125</v>
      </c>
      <c r="J211" t="s">
        <v>3780</v>
      </c>
      <c r="K211">
        <v>0</v>
      </c>
      <c r="L211">
        <v>0</v>
      </c>
      <c r="M211">
        <v>82.699996948242188</v>
      </c>
    </row>
    <row r="212" spans="1:13" ht="41.25" customHeight="1" x14ac:dyDescent="0.2">
      <c r="A212" s="25" t="s">
        <v>122</v>
      </c>
      <c r="B212" s="29">
        <v>12632256</v>
      </c>
      <c r="C212" s="29" t="s">
        <v>123</v>
      </c>
      <c r="D212" s="225"/>
      <c r="E212" s="32">
        <f t="shared" si="3"/>
        <v>1</v>
      </c>
      <c r="F212" t="s">
        <v>3782</v>
      </c>
      <c r="G212" t="s">
        <v>3105</v>
      </c>
      <c r="H212" t="s">
        <v>3781</v>
      </c>
      <c r="I212">
        <v>332.55374145507813</v>
      </c>
      <c r="J212" t="s">
        <v>3783</v>
      </c>
      <c r="K212">
        <v>0</v>
      </c>
      <c r="L212">
        <v>0</v>
      </c>
      <c r="M212">
        <v>75.300003051757813</v>
      </c>
    </row>
    <row r="213" spans="1:13" ht="41.25" customHeight="1" x14ac:dyDescent="0.2">
      <c r="A213" s="25" t="s">
        <v>107</v>
      </c>
      <c r="B213" s="29">
        <v>11119017</v>
      </c>
      <c r="C213" s="29" t="s">
        <v>108</v>
      </c>
      <c r="D213" s="74"/>
      <c r="E213" s="32">
        <f t="shared" si="3"/>
        <v>1</v>
      </c>
      <c r="F213" t="s">
        <v>3785</v>
      </c>
      <c r="G213" t="s">
        <v>3105</v>
      </c>
      <c r="H213" t="s">
        <v>3784</v>
      </c>
      <c r="I213">
        <v>292.71658325195313</v>
      </c>
      <c r="J213" t="s">
        <v>3786</v>
      </c>
      <c r="K213">
        <v>0</v>
      </c>
      <c r="L213">
        <v>0</v>
      </c>
      <c r="M213">
        <v>66.300003051757813</v>
      </c>
    </row>
    <row r="214" spans="1:13" ht="41.25" customHeight="1" x14ac:dyDescent="0.2">
      <c r="A214" s="24" t="s">
        <v>109</v>
      </c>
      <c r="B214" s="29">
        <v>11119017</v>
      </c>
      <c r="C214" s="29" t="s">
        <v>110</v>
      </c>
      <c r="D214" s="74"/>
      <c r="E214" s="32">
        <f t="shared" si="3"/>
        <v>1</v>
      </c>
      <c r="F214" t="s">
        <v>3785</v>
      </c>
      <c r="G214" t="s">
        <v>3105</v>
      </c>
      <c r="H214" t="s">
        <v>3784</v>
      </c>
      <c r="I214">
        <v>292.71658325195313</v>
      </c>
      <c r="J214" t="s">
        <v>3786</v>
      </c>
      <c r="K214">
        <v>0</v>
      </c>
      <c r="L214">
        <v>0</v>
      </c>
      <c r="M214">
        <v>66.300003051757813</v>
      </c>
    </row>
    <row r="215" spans="1:13" ht="41.25" customHeight="1" x14ac:dyDescent="0.2">
      <c r="A215" t="s">
        <v>278</v>
      </c>
      <c r="B215">
        <v>9737364</v>
      </c>
      <c r="C215" t="s">
        <v>410</v>
      </c>
      <c r="D215" s="173"/>
      <c r="E215" s="32">
        <f t="shared" si="3"/>
        <v>1</v>
      </c>
      <c r="F215" t="s">
        <v>3787</v>
      </c>
      <c r="G215" t="s">
        <v>3105</v>
      </c>
      <c r="H215">
        <v>949494</v>
      </c>
      <c r="I215">
        <v>256.343505859375</v>
      </c>
      <c r="J215" t="s">
        <v>3788</v>
      </c>
      <c r="K215">
        <v>0</v>
      </c>
      <c r="L215">
        <v>0</v>
      </c>
      <c r="M215">
        <v>58</v>
      </c>
    </row>
    <row r="216" spans="1:13" ht="41.25" customHeight="1" x14ac:dyDescent="0.2">
      <c r="A216" s="25" t="s">
        <v>75</v>
      </c>
      <c r="B216" s="29">
        <v>8421504</v>
      </c>
      <c r="C216" s="29" t="s">
        <v>76</v>
      </c>
      <c r="D216" s="117"/>
      <c r="E216" s="32">
        <f t="shared" si="3"/>
        <v>1</v>
      </c>
      <c r="F216" t="s">
        <v>3789</v>
      </c>
      <c r="G216" t="s">
        <v>3105</v>
      </c>
      <c r="H216">
        <v>808080</v>
      </c>
      <c r="I216">
        <v>221.70249938964844</v>
      </c>
      <c r="J216" t="s">
        <v>3790</v>
      </c>
      <c r="K216">
        <v>0</v>
      </c>
      <c r="L216">
        <v>0</v>
      </c>
      <c r="M216">
        <v>50.200000762939453</v>
      </c>
    </row>
    <row r="217" spans="1:13" ht="41.25" customHeight="1" x14ac:dyDescent="0.2">
      <c r="A217" s="25" t="s">
        <v>77</v>
      </c>
      <c r="B217" s="29">
        <v>8421504</v>
      </c>
      <c r="C217" s="29" t="s">
        <v>78</v>
      </c>
      <c r="D217" s="117"/>
      <c r="E217" s="32">
        <f t="shared" si="3"/>
        <v>1</v>
      </c>
      <c r="F217" t="s">
        <v>3789</v>
      </c>
      <c r="G217" t="s">
        <v>3105</v>
      </c>
      <c r="H217">
        <v>808080</v>
      </c>
      <c r="I217">
        <v>221.70249938964844</v>
      </c>
      <c r="J217" t="s">
        <v>3790</v>
      </c>
      <c r="K217">
        <v>0</v>
      </c>
      <c r="L217">
        <v>0</v>
      </c>
      <c r="M217">
        <v>50.200000762939453</v>
      </c>
    </row>
    <row r="218" spans="1:13" ht="41.25" customHeight="1" x14ac:dyDescent="0.2">
      <c r="A218" s="25" t="s">
        <v>58</v>
      </c>
      <c r="B218" s="29">
        <v>6908265</v>
      </c>
      <c r="C218" s="29" t="s">
        <v>59</v>
      </c>
      <c r="D218" s="106"/>
      <c r="E218" s="32">
        <f t="shared" si="3"/>
        <v>1</v>
      </c>
      <c r="F218" t="s">
        <v>3791</v>
      </c>
      <c r="G218" t="s">
        <v>3105</v>
      </c>
      <c r="H218">
        <v>696969</v>
      </c>
      <c r="I218">
        <v>181.86534118652344</v>
      </c>
      <c r="J218" t="s">
        <v>3792</v>
      </c>
      <c r="K218">
        <v>0</v>
      </c>
      <c r="L218">
        <v>0</v>
      </c>
      <c r="M218">
        <v>41.200000762939453</v>
      </c>
    </row>
    <row r="219" spans="1:13" ht="41.25" customHeight="1" x14ac:dyDescent="0.2">
      <c r="A219" s="25" t="s">
        <v>60</v>
      </c>
      <c r="B219" s="29">
        <v>6908265</v>
      </c>
      <c r="C219" s="29" t="s">
        <v>61</v>
      </c>
      <c r="D219" s="106"/>
      <c r="E219" s="32">
        <f t="shared" si="3"/>
        <v>1</v>
      </c>
      <c r="F219" t="s">
        <v>3791</v>
      </c>
      <c r="G219" t="s">
        <v>3105</v>
      </c>
      <c r="H219">
        <v>696969</v>
      </c>
      <c r="I219">
        <v>181.86534118652344</v>
      </c>
      <c r="J219" t="s">
        <v>3792</v>
      </c>
      <c r="K219">
        <v>0</v>
      </c>
      <c r="L219">
        <v>0</v>
      </c>
      <c r="M219">
        <v>41.200000762939453</v>
      </c>
    </row>
    <row r="220" spans="1:13" ht="41.25" customHeight="1" x14ac:dyDescent="0.2">
      <c r="A220" s="38" t="s">
        <v>343</v>
      </c>
      <c r="B220">
        <v>0</v>
      </c>
      <c r="C220" t="s">
        <v>344</v>
      </c>
      <c r="D220" s="43"/>
      <c r="E220" s="32">
        <f t="shared" si="3"/>
        <v>1</v>
      </c>
      <c r="F220" t="s">
        <v>3793</v>
      </c>
      <c r="G220" t="s">
        <v>3105</v>
      </c>
      <c r="H220">
        <v>0</v>
      </c>
      <c r="I220">
        <v>0</v>
      </c>
      <c r="J220" t="s">
        <v>3794</v>
      </c>
      <c r="K220">
        <v>0</v>
      </c>
      <c r="L220">
        <v>0</v>
      </c>
      <c r="M220">
        <v>0</v>
      </c>
    </row>
    <row r="221" spans="1:13" ht="41.25" customHeight="1" x14ac:dyDescent="0.2">
      <c r="J221" t="s">
        <v>3795</v>
      </c>
      <c r="K221">
        <v>10</v>
      </c>
      <c r="L221">
        <v>66.699996948242188</v>
      </c>
      <c r="M221">
        <v>35.299999237060547</v>
      </c>
    </row>
  </sheetData>
  <autoFilter ref="A1:GD220" xr:uid="{03819E93-4154-4819-A1B4-4E3D5F035D79}"/>
  <sortState xmlns:xlrd2="http://schemas.microsoft.com/office/spreadsheetml/2017/richdata2" ref="A2:M220">
    <sortCondition descending="1" ref="L2:L220"/>
    <sortCondition descending="1" ref="M2:M220"/>
  </sortState>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DB681-C950-4EC7-B765-879E28041294}">
  <sheetPr codeName="Sheet2"/>
  <dimension ref="A1:C128"/>
  <sheetViews>
    <sheetView workbookViewId="0">
      <selection activeCell="A2" sqref="A2:C127"/>
    </sheetView>
  </sheetViews>
  <sheetFormatPr defaultRowHeight="12.75" x14ac:dyDescent="0.2"/>
  <cols>
    <col min="1" max="1" width="18.42578125" customWidth="1"/>
  </cols>
  <sheetData>
    <row r="1" spans="1:3" x14ac:dyDescent="0.2">
      <c r="A1" t="s">
        <v>0</v>
      </c>
      <c r="B1" t="s">
        <v>540</v>
      </c>
      <c r="C1" t="s">
        <v>3804</v>
      </c>
    </row>
    <row r="2" spans="1:3" x14ac:dyDescent="0.2">
      <c r="A2" t="s">
        <v>4008</v>
      </c>
      <c r="B2">
        <v>35300</v>
      </c>
      <c r="C2" t="s">
        <v>217</v>
      </c>
    </row>
    <row r="3" spans="1:3" x14ac:dyDescent="0.2">
      <c r="A3" t="s">
        <v>1171</v>
      </c>
      <c r="B3">
        <v>18826</v>
      </c>
      <c r="C3" t="s">
        <v>233</v>
      </c>
    </row>
    <row r="4" spans="1:3" x14ac:dyDescent="0.2">
      <c r="A4" t="s">
        <v>343</v>
      </c>
      <c r="B4">
        <v>18386</v>
      </c>
      <c r="C4" t="s">
        <v>227</v>
      </c>
    </row>
    <row r="5" spans="1:3" x14ac:dyDescent="0.2">
      <c r="A5" t="s">
        <v>4223</v>
      </c>
      <c r="B5">
        <v>16732</v>
      </c>
      <c r="C5" t="s">
        <v>218</v>
      </c>
    </row>
    <row r="6" spans="1:3" x14ac:dyDescent="0.2">
      <c r="A6" t="s">
        <v>407</v>
      </c>
      <c r="B6">
        <v>15006</v>
      </c>
      <c r="C6" t="s">
        <v>228</v>
      </c>
    </row>
    <row r="7" spans="1:3" x14ac:dyDescent="0.2">
      <c r="A7" t="s">
        <v>4247</v>
      </c>
      <c r="B7">
        <v>14693</v>
      </c>
      <c r="C7" t="s">
        <v>224</v>
      </c>
    </row>
    <row r="8" spans="1:3" x14ac:dyDescent="0.2">
      <c r="A8" t="s">
        <v>236</v>
      </c>
      <c r="B8">
        <v>13138</v>
      </c>
      <c r="C8" t="s">
        <v>221</v>
      </c>
    </row>
    <row r="9" spans="1:3" x14ac:dyDescent="0.2">
      <c r="A9" t="s">
        <v>4006</v>
      </c>
      <c r="B9">
        <v>12918</v>
      </c>
      <c r="C9" t="s">
        <v>232</v>
      </c>
    </row>
    <row r="10" spans="1:3" x14ac:dyDescent="0.2">
      <c r="A10" t="s">
        <v>4224</v>
      </c>
      <c r="B10">
        <v>12847</v>
      </c>
      <c r="C10" t="s">
        <v>230</v>
      </c>
    </row>
    <row r="11" spans="1:3" x14ac:dyDescent="0.2">
      <c r="A11" t="s">
        <v>4007</v>
      </c>
      <c r="B11">
        <v>10657</v>
      </c>
      <c r="C11" t="s">
        <v>231</v>
      </c>
    </row>
    <row r="12" spans="1:3" x14ac:dyDescent="0.2">
      <c r="A12" t="s">
        <v>267</v>
      </c>
      <c r="B12">
        <v>8886</v>
      </c>
      <c r="C12" t="s">
        <v>220</v>
      </c>
    </row>
    <row r="13" spans="1:3" x14ac:dyDescent="0.2">
      <c r="A13" t="s">
        <v>4248</v>
      </c>
      <c r="B13">
        <v>8475</v>
      </c>
      <c r="C13" t="s">
        <v>219</v>
      </c>
    </row>
    <row r="14" spans="1:3" x14ac:dyDescent="0.2">
      <c r="A14" t="s">
        <v>28</v>
      </c>
      <c r="B14">
        <v>6585</v>
      </c>
      <c r="C14" t="s">
        <v>226</v>
      </c>
    </row>
    <row r="15" spans="1:3" x14ac:dyDescent="0.2">
      <c r="A15" t="s">
        <v>284</v>
      </c>
      <c r="B15">
        <v>6193</v>
      </c>
      <c r="C15" t="s">
        <v>225</v>
      </c>
    </row>
    <row r="16" spans="1:3" x14ac:dyDescent="0.2">
      <c r="A16" t="s">
        <v>96</v>
      </c>
      <c r="B16">
        <v>6026</v>
      </c>
      <c r="C16" t="s">
        <v>223</v>
      </c>
    </row>
    <row r="17" spans="1:3" x14ac:dyDescent="0.2">
      <c r="A17" t="s">
        <v>107</v>
      </c>
      <c r="B17">
        <v>5482</v>
      </c>
      <c r="C17" t="s">
        <v>222</v>
      </c>
    </row>
    <row r="18" spans="1:3" x14ac:dyDescent="0.2">
      <c r="A18" t="s">
        <v>402</v>
      </c>
      <c r="B18">
        <v>5439</v>
      </c>
      <c r="C18" t="s">
        <v>229</v>
      </c>
    </row>
    <row r="19" spans="1:3" x14ac:dyDescent="0.2">
      <c r="A19" t="s">
        <v>122</v>
      </c>
      <c r="B19">
        <v>5339</v>
      </c>
      <c r="C19" t="s">
        <v>234</v>
      </c>
    </row>
    <row r="20" spans="1:3" x14ac:dyDescent="0.2">
      <c r="A20" t="s">
        <v>49</v>
      </c>
      <c r="B20">
        <v>4828</v>
      </c>
      <c r="C20" t="s">
        <v>238</v>
      </c>
    </row>
    <row r="21" spans="1:3" x14ac:dyDescent="0.2">
      <c r="A21" t="s">
        <v>103</v>
      </c>
      <c r="B21">
        <v>4257</v>
      </c>
      <c r="C21" t="s">
        <v>239</v>
      </c>
    </row>
    <row r="22" spans="1:3" x14ac:dyDescent="0.2">
      <c r="A22" t="s">
        <v>4221</v>
      </c>
      <c r="B22">
        <v>4045</v>
      </c>
      <c r="C22" t="s">
        <v>256</v>
      </c>
    </row>
    <row r="23" spans="1:3" x14ac:dyDescent="0.2">
      <c r="A23" t="s">
        <v>145</v>
      </c>
      <c r="B23">
        <v>2901</v>
      </c>
      <c r="C23" t="s">
        <v>255</v>
      </c>
    </row>
    <row r="24" spans="1:3" x14ac:dyDescent="0.2">
      <c r="A24" t="s">
        <v>91</v>
      </c>
      <c r="B24">
        <v>2855</v>
      </c>
      <c r="C24" t="s">
        <v>254</v>
      </c>
    </row>
    <row r="25" spans="1:3" x14ac:dyDescent="0.2">
      <c r="A25" t="s">
        <v>273</v>
      </c>
      <c r="B25">
        <v>2756</v>
      </c>
      <c r="C25" t="s">
        <v>235</v>
      </c>
    </row>
    <row r="26" spans="1:3" x14ac:dyDescent="0.2">
      <c r="A26" t="s">
        <v>190</v>
      </c>
      <c r="B26">
        <v>2625</v>
      </c>
      <c r="C26" t="s">
        <v>250</v>
      </c>
    </row>
    <row r="27" spans="1:3" x14ac:dyDescent="0.2">
      <c r="A27" t="s">
        <v>203</v>
      </c>
      <c r="B27">
        <v>2244</v>
      </c>
      <c r="C27" t="s">
        <v>251</v>
      </c>
    </row>
    <row r="28" spans="1:3" x14ac:dyDescent="0.2">
      <c r="A28" t="s">
        <v>411</v>
      </c>
      <c r="B28">
        <v>2228</v>
      </c>
      <c r="C28" t="s">
        <v>242</v>
      </c>
    </row>
    <row r="29" spans="1:3" x14ac:dyDescent="0.2">
      <c r="A29" t="s">
        <v>3</v>
      </c>
      <c r="B29">
        <v>2189</v>
      </c>
      <c r="C29" t="s">
        <v>243</v>
      </c>
    </row>
    <row r="30" spans="1:3" x14ac:dyDescent="0.2">
      <c r="A30" t="s">
        <v>4219</v>
      </c>
      <c r="B30">
        <v>2181</v>
      </c>
      <c r="C30" t="s">
        <v>249</v>
      </c>
    </row>
    <row r="31" spans="1:3" x14ac:dyDescent="0.2">
      <c r="A31" t="s">
        <v>160</v>
      </c>
      <c r="B31">
        <v>1961</v>
      </c>
      <c r="C31" t="s">
        <v>241</v>
      </c>
    </row>
    <row r="32" spans="1:3" x14ac:dyDescent="0.2">
      <c r="A32" t="s">
        <v>278</v>
      </c>
      <c r="B32">
        <v>1923</v>
      </c>
      <c r="C32" t="s">
        <v>257</v>
      </c>
    </row>
    <row r="33" spans="1:3" x14ac:dyDescent="0.2">
      <c r="A33" t="s">
        <v>4010</v>
      </c>
      <c r="B33">
        <v>1834</v>
      </c>
      <c r="C33" t="s">
        <v>248</v>
      </c>
    </row>
    <row r="34" spans="1:3" x14ac:dyDescent="0.2">
      <c r="A34" t="s">
        <v>4235</v>
      </c>
      <c r="B34">
        <v>1697</v>
      </c>
      <c r="C34" t="s">
        <v>246</v>
      </c>
    </row>
    <row r="35" spans="1:3" x14ac:dyDescent="0.2">
      <c r="A35" t="s">
        <v>4227</v>
      </c>
      <c r="B35">
        <v>1651</v>
      </c>
      <c r="C35" t="s">
        <v>207</v>
      </c>
    </row>
    <row r="36" spans="1:3" x14ac:dyDescent="0.2">
      <c r="A36" t="s">
        <v>394</v>
      </c>
      <c r="B36">
        <v>1564</v>
      </c>
      <c r="C36" t="s">
        <v>244</v>
      </c>
    </row>
    <row r="37" spans="1:3" x14ac:dyDescent="0.2">
      <c r="A37" t="s">
        <v>58</v>
      </c>
      <c r="B37">
        <v>1495</v>
      </c>
      <c r="C37" t="s">
        <v>258</v>
      </c>
    </row>
    <row r="38" spans="1:3" x14ac:dyDescent="0.2">
      <c r="A38" t="s">
        <v>4222</v>
      </c>
      <c r="B38">
        <v>1493</v>
      </c>
      <c r="C38" t="s">
        <v>253</v>
      </c>
    </row>
    <row r="39" spans="1:3" x14ac:dyDescent="0.2">
      <c r="A39" t="s">
        <v>277</v>
      </c>
      <c r="B39">
        <v>1480</v>
      </c>
      <c r="C39" t="s">
        <v>240</v>
      </c>
    </row>
    <row r="40" spans="1:3" x14ac:dyDescent="0.2">
      <c r="A40" t="s">
        <v>4009</v>
      </c>
      <c r="B40">
        <v>1307</v>
      </c>
      <c r="C40" t="s">
        <v>252</v>
      </c>
    </row>
    <row r="41" spans="1:3" x14ac:dyDescent="0.2">
      <c r="A41" t="s">
        <v>3798</v>
      </c>
      <c r="B41">
        <v>1201</v>
      </c>
      <c r="C41" t="s">
        <v>259</v>
      </c>
    </row>
    <row r="42" spans="1:3" x14ac:dyDescent="0.2">
      <c r="A42" t="s">
        <v>3802</v>
      </c>
      <c r="B42">
        <v>1026</v>
      </c>
      <c r="C42" t="s">
        <v>245</v>
      </c>
    </row>
    <row r="43" spans="1:3" x14ac:dyDescent="0.2">
      <c r="A43" t="s">
        <v>75</v>
      </c>
      <c r="B43">
        <v>1011</v>
      </c>
      <c r="C43" t="s">
        <v>287</v>
      </c>
    </row>
    <row r="44" spans="1:3" x14ac:dyDescent="0.2">
      <c r="A44" t="s">
        <v>162</v>
      </c>
      <c r="B44">
        <v>1009</v>
      </c>
      <c r="C44" t="s">
        <v>288</v>
      </c>
    </row>
    <row r="45" spans="1:3" x14ac:dyDescent="0.2">
      <c r="A45" t="s">
        <v>186</v>
      </c>
      <c r="B45">
        <v>937</v>
      </c>
      <c r="C45" t="s">
        <v>289</v>
      </c>
    </row>
    <row r="46" spans="1:3" x14ac:dyDescent="0.2">
      <c r="A46" t="s">
        <v>276</v>
      </c>
      <c r="B46">
        <v>889</v>
      </c>
      <c r="C46" t="s">
        <v>290</v>
      </c>
    </row>
    <row r="47" spans="1:3" x14ac:dyDescent="0.2">
      <c r="A47" t="s">
        <v>4228</v>
      </c>
      <c r="B47">
        <v>859</v>
      </c>
      <c r="C47" t="s">
        <v>291</v>
      </c>
    </row>
    <row r="48" spans="1:3" x14ac:dyDescent="0.2">
      <c r="A48" t="s">
        <v>347</v>
      </c>
      <c r="B48">
        <v>837</v>
      </c>
      <c r="C48" t="s">
        <v>292</v>
      </c>
    </row>
    <row r="49" spans="1:3" x14ac:dyDescent="0.2">
      <c r="A49" t="s">
        <v>4220</v>
      </c>
      <c r="B49">
        <v>760</v>
      </c>
      <c r="C49" t="s">
        <v>286</v>
      </c>
    </row>
    <row r="50" spans="1:3" x14ac:dyDescent="0.2">
      <c r="A50" t="s">
        <v>4233</v>
      </c>
      <c r="B50">
        <v>753</v>
      </c>
      <c r="C50" t="s">
        <v>293</v>
      </c>
    </row>
    <row r="51" spans="1:3" x14ac:dyDescent="0.2">
      <c r="A51" t="s">
        <v>4011</v>
      </c>
      <c r="B51">
        <v>732</v>
      </c>
      <c r="C51" t="s">
        <v>294</v>
      </c>
    </row>
    <row r="52" spans="1:3" x14ac:dyDescent="0.2">
      <c r="A52" t="s">
        <v>4237</v>
      </c>
      <c r="B52">
        <v>628</v>
      </c>
      <c r="C52" t="s">
        <v>295</v>
      </c>
    </row>
    <row r="53" spans="1:3" x14ac:dyDescent="0.2">
      <c r="A53" t="s">
        <v>390</v>
      </c>
      <c r="B53">
        <v>603</v>
      </c>
      <c r="C53" t="s">
        <v>296</v>
      </c>
    </row>
    <row r="54" spans="1:3" x14ac:dyDescent="0.2">
      <c r="A54" t="s">
        <v>4234</v>
      </c>
      <c r="B54">
        <v>542</v>
      </c>
      <c r="C54" t="s">
        <v>4215</v>
      </c>
    </row>
    <row r="55" spans="1:3" x14ac:dyDescent="0.2">
      <c r="A55" t="s">
        <v>281</v>
      </c>
      <c r="B55">
        <v>533</v>
      </c>
      <c r="C55" t="s">
        <v>4216</v>
      </c>
    </row>
    <row r="56" spans="1:3" x14ac:dyDescent="0.2">
      <c r="A56" t="s">
        <v>115</v>
      </c>
      <c r="B56">
        <v>519</v>
      </c>
      <c r="C56" t="s">
        <v>4217</v>
      </c>
    </row>
    <row r="57" spans="1:3" x14ac:dyDescent="0.2">
      <c r="A57" t="s">
        <v>197</v>
      </c>
      <c r="B57">
        <v>513</v>
      </c>
      <c r="C57" t="s">
        <v>4218</v>
      </c>
    </row>
    <row r="58" spans="1:3" x14ac:dyDescent="0.2">
      <c r="A58" t="s">
        <v>4012</v>
      </c>
      <c r="B58">
        <v>485</v>
      </c>
      <c r="C58" t="s">
        <v>4249</v>
      </c>
    </row>
    <row r="59" spans="1:3" x14ac:dyDescent="0.2">
      <c r="A59" t="s">
        <v>351</v>
      </c>
      <c r="B59">
        <v>479</v>
      </c>
      <c r="C59" t="s">
        <v>4250</v>
      </c>
    </row>
    <row r="60" spans="1:3" x14ac:dyDescent="0.2">
      <c r="A60" t="s">
        <v>180</v>
      </c>
      <c r="B60">
        <v>433</v>
      </c>
      <c r="C60" t="s">
        <v>4251</v>
      </c>
    </row>
    <row r="61" spans="1:3" x14ac:dyDescent="0.2">
      <c r="A61" t="s">
        <v>4230</v>
      </c>
      <c r="B61">
        <v>403</v>
      </c>
      <c r="C61" t="s">
        <v>4252</v>
      </c>
    </row>
    <row r="62" spans="1:3" x14ac:dyDescent="0.2">
      <c r="A62" t="s">
        <v>192</v>
      </c>
      <c r="B62">
        <v>352</v>
      </c>
      <c r="C62" t="s">
        <v>4253</v>
      </c>
    </row>
    <row r="63" spans="1:3" x14ac:dyDescent="0.2">
      <c r="A63" t="s">
        <v>338</v>
      </c>
      <c r="B63">
        <v>344</v>
      </c>
      <c r="C63" t="s">
        <v>4254</v>
      </c>
    </row>
    <row r="64" spans="1:3" x14ac:dyDescent="0.2">
      <c r="A64" t="s">
        <v>4232</v>
      </c>
      <c r="B64">
        <v>337</v>
      </c>
      <c r="C64" t="s">
        <v>4255</v>
      </c>
    </row>
    <row r="65" spans="1:3" x14ac:dyDescent="0.2">
      <c r="A65" t="s">
        <v>188</v>
      </c>
      <c r="B65">
        <v>323</v>
      </c>
      <c r="C65" t="s">
        <v>4256</v>
      </c>
    </row>
    <row r="66" spans="1:3" x14ac:dyDescent="0.2">
      <c r="A66" t="s">
        <v>282</v>
      </c>
      <c r="B66">
        <v>294</v>
      </c>
      <c r="C66" t="s">
        <v>4257</v>
      </c>
    </row>
    <row r="67" spans="1:3" x14ac:dyDescent="0.2">
      <c r="A67" t="s">
        <v>42</v>
      </c>
      <c r="B67">
        <v>294</v>
      </c>
      <c r="C67" t="s">
        <v>4258</v>
      </c>
    </row>
    <row r="68" spans="1:3" x14ac:dyDescent="0.2">
      <c r="A68" t="s">
        <v>4236</v>
      </c>
      <c r="B68">
        <v>263</v>
      </c>
      <c r="C68" t="s">
        <v>4259</v>
      </c>
    </row>
    <row r="69" spans="1:3" x14ac:dyDescent="0.2">
      <c r="A69" t="s">
        <v>31</v>
      </c>
      <c r="B69">
        <v>238</v>
      </c>
      <c r="C69" t="s">
        <v>4260</v>
      </c>
    </row>
    <row r="70" spans="1:3" x14ac:dyDescent="0.2">
      <c r="A70" t="s">
        <v>4240</v>
      </c>
      <c r="B70">
        <v>205</v>
      </c>
      <c r="C70" t="s">
        <v>4261</v>
      </c>
    </row>
    <row r="71" spans="1:3" x14ac:dyDescent="0.2">
      <c r="A71" t="s">
        <v>4014</v>
      </c>
      <c r="B71">
        <v>184</v>
      </c>
      <c r="C71" t="s">
        <v>4262</v>
      </c>
    </row>
    <row r="72" spans="1:3" x14ac:dyDescent="0.2">
      <c r="A72" t="s">
        <v>62</v>
      </c>
      <c r="B72">
        <v>164</v>
      </c>
      <c r="C72" t="s">
        <v>4263</v>
      </c>
    </row>
    <row r="73" spans="1:3" x14ac:dyDescent="0.2">
      <c r="A73" t="s">
        <v>280</v>
      </c>
      <c r="B73">
        <v>160</v>
      </c>
      <c r="C73" t="s">
        <v>4264</v>
      </c>
    </row>
    <row r="74" spans="1:3" x14ac:dyDescent="0.2">
      <c r="A74" t="s">
        <v>3800</v>
      </c>
      <c r="B74">
        <v>159</v>
      </c>
      <c r="C74" t="s">
        <v>4265</v>
      </c>
    </row>
    <row r="75" spans="1:3" x14ac:dyDescent="0.2">
      <c r="A75" t="s">
        <v>37</v>
      </c>
      <c r="B75">
        <v>156</v>
      </c>
      <c r="C75" t="s">
        <v>4266</v>
      </c>
    </row>
    <row r="76" spans="1:3" x14ac:dyDescent="0.2">
      <c r="A76" t="s">
        <v>1172</v>
      </c>
      <c r="B76">
        <v>155</v>
      </c>
      <c r="C76" t="s">
        <v>4267</v>
      </c>
    </row>
    <row r="77" spans="1:3" x14ac:dyDescent="0.2">
      <c r="A77" t="s">
        <v>3796</v>
      </c>
      <c r="B77">
        <v>132</v>
      </c>
      <c r="C77" t="s">
        <v>4268</v>
      </c>
    </row>
    <row r="78" spans="1:3" x14ac:dyDescent="0.2">
      <c r="A78" t="s">
        <v>353</v>
      </c>
      <c r="B78">
        <v>127</v>
      </c>
      <c r="C78" t="s">
        <v>4269</v>
      </c>
    </row>
    <row r="79" spans="1:3" x14ac:dyDescent="0.2">
      <c r="A79" t="s">
        <v>283</v>
      </c>
      <c r="B79">
        <v>115</v>
      </c>
      <c r="C79" t="s">
        <v>4270</v>
      </c>
    </row>
    <row r="80" spans="1:3" x14ac:dyDescent="0.2">
      <c r="A80" t="s">
        <v>4229</v>
      </c>
      <c r="B80">
        <v>102</v>
      </c>
      <c r="C80" t="s">
        <v>4271</v>
      </c>
    </row>
    <row r="81" spans="1:3" x14ac:dyDescent="0.2">
      <c r="A81" t="s">
        <v>4238</v>
      </c>
      <c r="B81">
        <v>91</v>
      </c>
      <c r="C81" t="s">
        <v>4272</v>
      </c>
    </row>
    <row r="82" spans="1:3" x14ac:dyDescent="0.2">
      <c r="A82" t="s">
        <v>182</v>
      </c>
      <c r="B82">
        <v>91</v>
      </c>
      <c r="C82" t="s">
        <v>4273</v>
      </c>
    </row>
    <row r="83" spans="1:3" x14ac:dyDescent="0.2">
      <c r="A83" t="s">
        <v>170</v>
      </c>
      <c r="B83">
        <v>75</v>
      </c>
      <c r="C83" t="s">
        <v>4274</v>
      </c>
    </row>
    <row r="84" spans="1:3" x14ac:dyDescent="0.2">
      <c r="A84" t="s">
        <v>4242</v>
      </c>
      <c r="B84">
        <v>69</v>
      </c>
      <c r="C84" t="s">
        <v>4275</v>
      </c>
    </row>
    <row r="85" spans="1:3" x14ac:dyDescent="0.2">
      <c r="A85" t="s">
        <v>4239</v>
      </c>
      <c r="B85">
        <v>67</v>
      </c>
      <c r="C85" t="s">
        <v>4276</v>
      </c>
    </row>
    <row r="86" spans="1:3" x14ac:dyDescent="0.2">
      <c r="A86" t="s">
        <v>416</v>
      </c>
      <c r="B86">
        <v>67</v>
      </c>
      <c r="C86" t="s">
        <v>4277</v>
      </c>
    </row>
    <row r="87" spans="1:3" x14ac:dyDescent="0.2">
      <c r="A87" t="s">
        <v>178</v>
      </c>
      <c r="B87">
        <v>66</v>
      </c>
      <c r="C87" t="s">
        <v>4278</v>
      </c>
    </row>
    <row r="88" spans="1:3" x14ac:dyDescent="0.2">
      <c r="A88" t="s">
        <v>4017</v>
      </c>
      <c r="B88">
        <v>63</v>
      </c>
      <c r="C88" t="s">
        <v>4279</v>
      </c>
    </row>
    <row r="89" spans="1:3" x14ac:dyDescent="0.2">
      <c r="A89" t="s">
        <v>382</v>
      </c>
      <c r="B89">
        <v>62</v>
      </c>
      <c r="C89" t="s">
        <v>4280</v>
      </c>
    </row>
    <row r="90" spans="1:3" x14ac:dyDescent="0.2">
      <c r="A90" t="s">
        <v>392</v>
      </c>
      <c r="B90">
        <v>61</v>
      </c>
      <c r="C90" t="s">
        <v>4281</v>
      </c>
    </row>
    <row r="91" spans="1:3" x14ac:dyDescent="0.2">
      <c r="A91" t="s">
        <v>4226</v>
      </c>
      <c r="B91">
        <v>61</v>
      </c>
      <c r="C91" t="s">
        <v>4282</v>
      </c>
    </row>
    <row r="92" spans="1:3" x14ac:dyDescent="0.2">
      <c r="A92" t="s">
        <v>4225</v>
      </c>
      <c r="B92">
        <v>54</v>
      </c>
      <c r="C92" t="s">
        <v>4283</v>
      </c>
    </row>
    <row r="93" spans="1:3" x14ac:dyDescent="0.2">
      <c r="A93" t="s">
        <v>201</v>
      </c>
      <c r="B93">
        <v>46</v>
      </c>
      <c r="C93" t="s">
        <v>4284</v>
      </c>
    </row>
    <row r="94" spans="1:3" x14ac:dyDescent="0.2">
      <c r="A94" t="s">
        <v>362</v>
      </c>
      <c r="B94">
        <v>45</v>
      </c>
      <c r="C94" t="s">
        <v>4285</v>
      </c>
    </row>
    <row r="95" spans="1:3" x14ac:dyDescent="0.2">
      <c r="A95" t="s">
        <v>167</v>
      </c>
      <c r="B95">
        <v>41</v>
      </c>
      <c r="C95" t="s">
        <v>4286</v>
      </c>
    </row>
    <row r="96" spans="1:3" x14ac:dyDescent="0.2">
      <c r="A96" t="s">
        <v>98</v>
      </c>
      <c r="B96">
        <v>39</v>
      </c>
      <c r="C96" t="s">
        <v>4287</v>
      </c>
    </row>
    <row r="97" spans="1:3" x14ac:dyDescent="0.2">
      <c r="A97" t="s">
        <v>184</v>
      </c>
      <c r="B97">
        <v>34</v>
      </c>
      <c r="C97" t="s">
        <v>4288</v>
      </c>
    </row>
    <row r="98" spans="1:3" x14ac:dyDescent="0.2">
      <c r="A98" t="s">
        <v>12</v>
      </c>
      <c r="B98">
        <v>27</v>
      </c>
      <c r="C98" t="s">
        <v>4289</v>
      </c>
    </row>
    <row r="99" spans="1:3" x14ac:dyDescent="0.2">
      <c r="A99" t="s">
        <v>4241</v>
      </c>
      <c r="B99">
        <v>26</v>
      </c>
      <c r="C99" t="s">
        <v>4290</v>
      </c>
    </row>
    <row r="100" spans="1:3" x14ac:dyDescent="0.2">
      <c r="A100" t="s">
        <v>3797</v>
      </c>
      <c r="B100">
        <v>22</v>
      </c>
      <c r="C100" t="s">
        <v>4291</v>
      </c>
    </row>
    <row r="101" spans="1:3" x14ac:dyDescent="0.2">
      <c r="A101" t="s">
        <v>16</v>
      </c>
      <c r="B101">
        <v>19</v>
      </c>
      <c r="C101" t="s">
        <v>4292</v>
      </c>
    </row>
    <row r="102" spans="1:3" x14ac:dyDescent="0.2">
      <c r="A102" t="s">
        <v>4243</v>
      </c>
      <c r="B102">
        <v>19</v>
      </c>
      <c r="C102" t="s">
        <v>4293</v>
      </c>
    </row>
    <row r="103" spans="1:3" x14ac:dyDescent="0.2">
      <c r="A103" t="s">
        <v>172</v>
      </c>
      <c r="B103">
        <v>17</v>
      </c>
      <c r="C103" t="s">
        <v>4294</v>
      </c>
    </row>
    <row r="104" spans="1:3" x14ac:dyDescent="0.2">
      <c r="A104" t="s">
        <v>3799</v>
      </c>
      <c r="B104">
        <v>15</v>
      </c>
      <c r="C104" t="s">
        <v>4295</v>
      </c>
    </row>
    <row r="105" spans="1:3" x14ac:dyDescent="0.2">
      <c r="A105" t="s">
        <v>24</v>
      </c>
      <c r="B105">
        <v>14</v>
      </c>
      <c r="C105" t="s">
        <v>4296</v>
      </c>
    </row>
    <row r="106" spans="1:3" x14ac:dyDescent="0.2">
      <c r="A106" t="s">
        <v>323</v>
      </c>
      <c r="B106">
        <v>13</v>
      </c>
      <c r="C106" t="s">
        <v>4297</v>
      </c>
    </row>
    <row r="107" spans="1:3" x14ac:dyDescent="0.2">
      <c r="A107" t="s">
        <v>155</v>
      </c>
      <c r="B107">
        <v>12</v>
      </c>
      <c r="C107" t="s">
        <v>4298</v>
      </c>
    </row>
    <row r="108" spans="1:3" x14ac:dyDescent="0.2">
      <c r="A108" t="s">
        <v>4245</v>
      </c>
      <c r="B108">
        <v>11</v>
      </c>
      <c r="C108" t="s">
        <v>4299</v>
      </c>
    </row>
    <row r="109" spans="1:3" x14ac:dyDescent="0.2">
      <c r="A109" t="s">
        <v>3801</v>
      </c>
      <c r="B109">
        <v>10</v>
      </c>
      <c r="C109" t="s">
        <v>4300</v>
      </c>
    </row>
    <row r="110" spans="1:3" x14ac:dyDescent="0.2">
      <c r="A110" t="s">
        <v>396</v>
      </c>
      <c r="B110">
        <v>10</v>
      </c>
      <c r="C110" t="s">
        <v>4301</v>
      </c>
    </row>
    <row r="111" spans="1:3" x14ac:dyDescent="0.2">
      <c r="A111" t="s">
        <v>4015</v>
      </c>
      <c r="B111">
        <v>7</v>
      </c>
      <c r="C111" t="s">
        <v>4302</v>
      </c>
    </row>
    <row r="112" spans="1:3" x14ac:dyDescent="0.2">
      <c r="A112" t="s">
        <v>134</v>
      </c>
      <c r="B112">
        <v>7</v>
      </c>
      <c r="C112" t="s">
        <v>4303</v>
      </c>
    </row>
    <row r="113" spans="1:3" x14ac:dyDescent="0.2">
      <c r="A113" t="s">
        <v>43</v>
      </c>
      <c r="B113">
        <v>5</v>
      </c>
      <c r="C113" t="s">
        <v>4304</v>
      </c>
    </row>
    <row r="114" spans="1:3" x14ac:dyDescent="0.2">
      <c r="A114" t="s">
        <v>4013</v>
      </c>
      <c r="B114">
        <v>5</v>
      </c>
      <c r="C114" t="s">
        <v>4305</v>
      </c>
    </row>
    <row r="115" spans="1:3" x14ac:dyDescent="0.2">
      <c r="A115" t="s">
        <v>45</v>
      </c>
      <c r="B115">
        <v>5</v>
      </c>
      <c r="C115" t="s">
        <v>4306</v>
      </c>
    </row>
    <row r="116" spans="1:3" x14ac:dyDescent="0.2">
      <c r="A116" t="s">
        <v>4016</v>
      </c>
      <c r="B116">
        <v>4</v>
      </c>
      <c r="C116" t="s">
        <v>4307</v>
      </c>
    </row>
    <row r="117" spans="1:3" x14ac:dyDescent="0.2">
      <c r="A117" t="s">
        <v>33</v>
      </c>
      <c r="B117">
        <v>4</v>
      </c>
      <c r="C117" t="s">
        <v>4308</v>
      </c>
    </row>
    <row r="118" spans="1:3" x14ac:dyDescent="0.2">
      <c r="A118" t="s">
        <v>4244</v>
      </c>
      <c r="B118">
        <v>4</v>
      </c>
      <c r="C118" t="s">
        <v>4309</v>
      </c>
    </row>
    <row r="119" spans="1:3" x14ac:dyDescent="0.2">
      <c r="A119" t="s">
        <v>93</v>
      </c>
      <c r="B119">
        <v>3</v>
      </c>
      <c r="C119" t="s">
        <v>4310</v>
      </c>
    </row>
    <row r="120" spans="1:3" x14ac:dyDescent="0.2">
      <c r="A120" t="s">
        <v>71</v>
      </c>
      <c r="B120">
        <v>2</v>
      </c>
      <c r="C120" t="s">
        <v>4311</v>
      </c>
    </row>
    <row r="121" spans="1:3" x14ac:dyDescent="0.2">
      <c r="A121" t="s">
        <v>3803</v>
      </c>
      <c r="B121">
        <v>2</v>
      </c>
      <c r="C121" t="s">
        <v>4312</v>
      </c>
    </row>
    <row r="122" spans="1:3" x14ac:dyDescent="0.2">
      <c r="A122" t="s">
        <v>279</v>
      </c>
      <c r="B122">
        <v>2</v>
      </c>
      <c r="C122" t="s">
        <v>4313</v>
      </c>
    </row>
    <row r="123" spans="1:3" x14ac:dyDescent="0.2">
      <c r="A123" t="s">
        <v>14</v>
      </c>
      <c r="B123">
        <v>1</v>
      </c>
      <c r="C123" t="s">
        <v>4314</v>
      </c>
    </row>
    <row r="124" spans="1:3" x14ac:dyDescent="0.2">
      <c r="A124" t="s">
        <v>356</v>
      </c>
      <c r="B124">
        <v>1</v>
      </c>
      <c r="C124" t="s">
        <v>4315</v>
      </c>
    </row>
    <row r="125" spans="1:3" x14ac:dyDescent="0.2">
      <c r="A125" t="s">
        <v>4231</v>
      </c>
      <c r="B125">
        <v>1</v>
      </c>
      <c r="C125" t="s">
        <v>4316</v>
      </c>
    </row>
    <row r="126" spans="1:3" x14ac:dyDescent="0.2">
      <c r="A126" t="s">
        <v>4246</v>
      </c>
      <c r="B126">
        <v>1</v>
      </c>
      <c r="C126" t="s">
        <v>4317</v>
      </c>
    </row>
    <row r="127" spans="1:3" x14ac:dyDescent="0.2">
      <c r="A127" t="s">
        <v>157</v>
      </c>
      <c r="B127">
        <v>1</v>
      </c>
      <c r="C127" t="s">
        <v>4318</v>
      </c>
    </row>
    <row r="128" spans="1:3" x14ac:dyDescent="0.2">
      <c r="A128" t="s">
        <v>3805</v>
      </c>
      <c r="B128">
        <v>291000</v>
      </c>
    </row>
  </sheetData>
  <autoFilter ref="A1:C1" xr:uid="{A90DB681-C950-4EC7-B765-879E28041294}">
    <sortState xmlns:xlrd2="http://schemas.microsoft.com/office/spreadsheetml/2017/richdata2" ref="A2:C127">
      <sortCondition descending="1" ref="B1"/>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71F5E-8587-459E-9564-4FECA0334D0A}">
  <sheetPr codeName="Sheet11"/>
  <dimension ref="A1:F220"/>
  <sheetViews>
    <sheetView workbookViewId="0"/>
  </sheetViews>
  <sheetFormatPr defaultRowHeight="12.75" x14ac:dyDescent="0.2"/>
  <cols>
    <col min="3" max="3" width="19.5703125" customWidth="1"/>
    <col min="4" max="4" width="13.7109375" customWidth="1"/>
  </cols>
  <sheetData>
    <row r="1" spans="1:6" ht="51" x14ac:dyDescent="0.2">
      <c r="A1" s="26" t="s">
        <v>260</v>
      </c>
      <c r="B1" s="27" t="s">
        <v>205</v>
      </c>
      <c r="C1" s="27" t="s">
        <v>297</v>
      </c>
      <c r="D1" s="27" t="s">
        <v>206</v>
      </c>
      <c r="E1" s="27" t="s">
        <v>247</v>
      </c>
      <c r="F1" s="27" t="s">
        <v>1738</v>
      </c>
    </row>
    <row r="2" spans="1:6" x14ac:dyDescent="0.2">
      <c r="A2">
        <v>1</v>
      </c>
      <c r="B2" s="27" t="s">
        <v>217</v>
      </c>
      <c r="C2" s="2" t="s">
        <v>343</v>
      </c>
      <c r="D2" s="27">
        <f>INDEX(rgbName!B:B,MATCH(C2,rgbName!A:A,0))</f>
        <v>0</v>
      </c>
      <c r="E2" s="27"/>
      <c r="F2" s="27"/>
    </row>
    <row r="3" spans="1:6" x14ac:dyDescent="0.2">
      <c r="A3">
        <f t="shared" ref="A3:A34" si="0">A2+1</f>
        <v>2</v>
      </c>
      <c r="B3" s="27" t="s">
        <v>233</v>
      </c>
      <c r="C3" s="27" t="s">
        <v>407</v>
      </c>
      <c r="D3" s="27">
        <f>INDEX(rgbName!B:B,MATCH(C3,rgbName!A:A,0))</f>
        <v>3814678</v>
      </c>
      <c r="E3" s="27"/>
      <c r="F3" s="27"/>
    </row>
    <row r="4" spans="1:6" x14ac:dyDescent="0.2">
      <c r="A4">
        <f t="shared" si="0"/>
        <v>3</v>
      </c>
      <c r="B4" s="27" t="s">
        <v>227</v>
      </c>
      <c r="C4" s="27" t="s">
        <v>1171</v>
      </c>
      <c r="D4" s="27">
        <f>INDEX(rgbName!B:B,MATCH(C4,rgbName!A:A,0))</f>
        <v>4991263</v>
      </c>
      <c r="E4" s="27"/>
      <c r="F4" s="27"/>
    </row>
    <row r="5" spans="1:6" x14ac:dyDescent="0.2">
      <c r="A5">
        <f t="shared" si="0"/>
        <v>4</v>
      </c>
      <c r="B5" s="27" t="s">
        <v>218</v>
      </c>
      <c r="C5" s="27" t="s">
        <v>4007</v>
      </c>
      <c r="D5" s="27">
        <f>INDEX(rgbName!B:B,MATCH(C5,rgbName!A:A,0))</f>
        <v>7748158</v>
      </c>
      <c r="E5" s="27"/>
      <c r="F5" s="27"/>
    </row>
    <row r="6" spans="1:6" x14ac:dyDescent="0.2">
      <c r="A6">
        <f t="shared" si="0"/>
        <v>5</v>
      </c>
      <c r="B6" s="27" t="s">
        <v>228</v>
      </c>
      <c r="C6" s="27" t="s">
        <v>4008</v>
      </c>
      <c r="D6" s="27">
        <f>INDEX(rgbName!B:B,MATCH(C6,rgbName!A:A,0))</f>
        <v>9065770</v>
      </c>
      <c r="E6" s="27"/>
      <c r="F6" s="27"/>
    </row>
    <row r="7" spans="1:6" x14ac:dyDescent="0.2">
      <c r="A7">
        <f t="shared" si="0"/>
        <v>6</v>
      </c>
      <c r="B7" s="27" t="s">
        <v>224</v>
      </c>
      <c r="C7" s="27" t="s">
        <v>4006</v>
      </c>
      <c r="D7" s="27">
        <f>INDEX(rgbName!B:B,MATCH(C7,rgbName!A:A,0))</f>
        <v>12487530</v>
      </c>
      <c r="E7" s="27"/>
      <c r="F7" s="27"/>
    </row>
    <row r="8" spans="1:6" x14ac:dyDescent="0.2">
      <c r="A8">
        <f t="shared" si="0"/>
        <v>7</v>
      </c>
      <c r="B8" s="27" t="s">
        <v>221</v>
      </c>
      <c r="C8" s="27" t="s">
        <v>1172</v>
      </c>
      <c r="D8" s="27">
        <f>INDEX(rgbName!B:B,MATCH(C8,rgbName!A:A,0))</f>
        <v>16571571</v>
      </c>
      <c r="E8" s="27"/>
      <c r="F8" s="27"/>
    </row>
    <row r="9" spans="1:6" x14ac:dyDescent="0.2">
      <c r="A9">
        <f t="shared" si="0"/>
        <v>8</v>
      </c>
      <c r="B9" s="27" t="s">
        <v>232</v>
      </c>
      <c r="C9" s="27" t="s">
        <v>382</v>
      </c>
      <c r="D9" s="27">
        <f>INDEX(rgbName!B:B,MATCH(C9,rgbName!A:A,0))</f>
        <v>16579312</v>
      </c>
      <c r="E9" s="27"/>
      <c r="F9" s="27"/>
    </row>
    <row r="10" spans="1:6" x14ac:dyDescent="0.2">
      <c r="A10">
        <f t="shared" si="0"/>
        <v>9</v>
      </c>
      <c r="B10" s="27" t="s">
        <v>230</v>
      </c>
      <c r="C10" s="27" t="s">
        <v>274</v>
      </c>
      <c r="D10" s="27">
        <f>INDEX(rgbName!B:B,MATCH(C10,rgbName!A:A,0))</f>
        <v>16777215</v>
      </c>
      <c r="E10" s="27"/>
      <c r="F10" s="27"/>
    </row>
    <row r="11" spans="1:6" x14ac:dyDescent="0.2">
      <c r="A11">
        <f t="shared" si="0"/>
        <v>10</v>
      </c>
      <c r="B11" s="27" t="s">
        <v>231</v>
      </c>
      <c r="C11" s="27" t="s">
        <v>276</v>
      </c>
      <c r="D11" s="27">
        <f>INDEX(rgbName!B:B,MATCH(C11,rgbName!A:A,0))</f>
        <v>14669522</v>
      </c>
      <c r="E11" s="27"/>
      <c r="F11" s="27"/>
    </row>
    <row r="12" spans="1:6" x14ac:dyDescent="0.2">
      <c r="A12">
        <f t="shared" si="0"/>
        <v>11</v>
      </c>
      <c r="B12" s="27" t="s">
        <v>220</v>
      </c>
      <c r="C12" s="27" t="s">
        <v>278</v>
      </c>
      <c r="D12" s="27">
        <f>INDEX(rgbName!B:B,MATCH(C12,rgbName!A:A,0))</f>
        <v>9737364</v>
      </c>
      <c r="E12" s="27"/>
      <c r="F12" s="27"/>
    </row>
    <row r="13" spans="1:6" x14ac:dyDescent="0.2">
      <c r="A13">
        <f t="shared" si="0"/>
        <v>12</v>
      </c>
      <c r="B13" s="27" t="s">
        <v>219</v>
      </c>
      <c r="C13" s="27" t="s">
        <v>402</v>
      </c>
      <c r="D13" s="27">
        <f>INDEX(rgbName!B:B,MATCH(C13,rgbName!A:A,0))</f>
        <v>8023401</v>
      </c>
      <c r="E13" s="27"/>
      <c r="F13" s="27"/>
    </row>
    <row r="14" spans="1:6" x14ac:dyDescent="0.2">
      <c r="A14">
        <f t="shared" si="0"/>
        <v>13</v>
      </c>
      <c r="B14" s="27" t="s">
        <v>226</v>
      </c>
      <c r="C14" s="27" t="s">
        <v>273</v>
      </c>
      <c r="D14" s="27">
        <f>INDEX(rgbName!B:B,MATCH(C14,rgbName!A:A,0))</f>
        <v>4538432</v>
      </c>
      <c r="E14" s="27"/>
      <c r="F14" s="27"/>
    </row>
    <row r="15" spans="1:6" x14ac:dyDescent="0.2">
      <c r="A15">
        <f t="shared" si="0"/>
        <v>14</v>
      </c>
      <c r="B15" s="27" t="s">
        <v>225</v>
      </c>
      <c r="C15" s="27" t="s">
        <v>284</v>
      </c>
      <c r="D15" s="27">
        <f>INDEX(rgbName!B:B,MATCH(C15,rgbName!A:A,0))</f>
        <v>2703671</v>
      </c>
      <c r="E15" s="27"/>
      <c r="F15" s="27"/>
    </row>
    <row r="16" spans="1:6" x14ac:dyDescent="0.2">
      <c r="A16">
        <f t="shared" si="0"/>
        <v>15</v>
      </c>
      <c r="B16" s="52" t="s">
        <v>223</v>
      </c>
      <c r="C16" s="27" t="s">
        <v>3802</v>
      </c>
      <c r="D16" s="27">
        <f>INDEX(rgbName!B:B,MATCH(C16,rgbName!A:A,0))</f>
        <v>4412764</v>
      </c>
      <c r="E16" s="27"/>
      <c r="F16" s="27"/>
    </row>
    <row r="17" spans="1:6" x14ac:dyDescent="0.2">
      <c r="A17">
        <f t="shared" si="0"/>
        <v>16</v>
      </c>
      <c r="B17" s="52" t="s">
        <v>222</v>
      </c>
      <c r="C17" t="s">
        <v>4009</v>
      </c>
      <c r="D17" s="27">
        <f>INDEX(rgbName!B:B,MATCH(C17,rgbName!A:A,0))</f>
        <v>6320179</v>
      </c>
      <c r="E17" s="27"/>
      <c r="F17" s="27"/>
    </row>
    <row r="18" spans="1:6" x14ac:dyDescent="0.2">
      <c r="A18">
        <f t="shared" si="0"/>
        <v>17</v>
      </c>
      <c r="B18" s="52" t="s">
        <v>229</v>
      </c>
      <c r="C18" s="27" t="s">
        <v>4012</v>
      </c>
      <c r="D18" s="27">
        <f>INDEX(rgbName!B:B,MATCH(C18,rgbName!A:A,0))</f>
        <v>5074509</v>
      </c>
      <c r="E18" s="27"/>
      <c r="F18" s="27"/>
    </row>
    <row r="19" spans="1:6" x14ac:dyDescent="0.2">
      <c r="A19">
        <f t="shared" si="0"/>
        <v>18</v>
      </c>
      <c r="B19" s="52" t="s">
        <v>234</v>
      </c>
      <c r="C19" s="27" t="s">
        <v>3798</v>
      </c>
      <c r="D19" s="27">
        <f>INDEX(rgbName!B:B,MATCH(C19,rgbName!A:A,0))</f>
        <v>7780796</v>
      </c>
      <c r="E19" s="27"/>
      <c r="F19" s="27"/>
    </row>
    <row r="20" spans="1:6" x14ac:dyDescent="0.2">
      <c r="A20">
        <f t="shared" si="0"/>
        <v>19</v>
      </c>
      <c r="B20" s="52" t="s">
        <v>238</v>
      </c>
      <c r="C20" s="27" t="s">
        <v>411</v>
      </c>
      <c r="D20" s="27">
        <f>INDEX(rgbName!B:B,MATCH(C20,rgbName!A:A,0))</f>
        <v>13293195</v>
      </c>
      <c r="E20" s="27"/>
      <c r="F20" s="27"/>
    </row>
    <row r="21" spans="1:6" x14ac:dyDescent="0.2">
      <c r="A21">
        <f t="shared" si="0"/>
        <v>20</v>
      </c>
      <c r="B21" s="52" t="s">
        <v>239</v>
      </c>
      <c r="C21" s="27" t="s">
        <v>4010</v>
      </c>
      <c r="D21" s="27">
        <f>INDEX(rgbName!B:B,MATCH(C21,rgbName!A:A,0))</f>
        <v>12776942</v>
      </c>
      <c r="E21" s="27"/>
      <c r="F21" s="27"/>
    </row>
    <row r="22" spans="1:6" x14ac:dyDescent="0.2">
      <c r="A22">
        <f t="shared" si="0"/>
        <v>21</v>
      </c>
      <c r="B22" s="52" t="s">
        <v>256</v>
      </c>
      <c r="C22" t="s">
        <v>4017</v>
      </c>
      <c r="D22" s="27">
        <f>INDEX(rgbName!B:B,MATCH(C22,rgbName!A:A,0))</f>
        <v>3155929</v>
      </c>
      <c r="E22" s="27"/>
      <c r="F22" s="27"/>
    </row>
    <row r="23" spans="1:6" x14ac:dyDescent="0.2">
      <c r="A23">
        <f t="shared" si="0"/>
        <v>22</v>
      </c>
      <c r="B23" s="52" t="s">
        <v>255</v>
      </c>
      <c r="C23" t="s">
        <v>4015</v>
      </c>
      <c r="D23" s="27">
        <f>INDEX(rgbName!B:B,MATCH(C23,rgbName!A:A,0))</f>
        <v>3417235</v>
      </c>
      <c r="E23" s="27"/>
      <c r="F23" s="27"/>
    </row>
    <row r="24" spans="1:6" x14ac:dyDescent="0.2">
      <c r="A24">
        <f t="shared" si="0"/>
        <v>23</v>
      </c>
      <c r="B24" s="52" t="s">
        <v>254</v>
      </c>
      <c r="C24" s="27" t="s">
        <v>281</v>
      </c>
      <c r="D24" s="27">
        <f>INDEX(rgbName!B:B,MATCH(C24,rgbName!A:A,0))</f>
        <v>1778762</v>
      </c>
      <c r="E24" s="27"/>
      <c r="F24" s="27"/>
    </row>
    <row r="25" spans="1:6" x14ac:dyDescent="0.2">
      <c r="A25">
        <f t="shared" si="0"/>
        <v>24</v>
      </c>
      <c r="B25" s="52" t="s">
        <v>235</v>
      </c>
      <c r="C25" t="s">
        <v>282</v>
      </c>
      <c r="D25" s="27">
        <f>INDEX(rgbName!B:B,MATCH(C25,rgbName!A:A,0))</f>
        <v>2882559</v>
      </c>
      <c r="E25" s="27"/>
      <c r="F25" s="27"/>
    </row>
    <row r="26" spans="1:6" x14ac:dyDescent="0.2">
      <c r="A26">
        <f t="shared" si="0"/>
        <v>25</v>
      </c>
      <c r="B26" s="52" t="s">
        <v>250</v>
      </c>
      <c r="C26" t="s">
        <v>351</v>
      </c>
      <c r="D26" s="27">
        <f>INDEX(rgbName!B:B,MATCH(C26,rgbName!A:A,0))</f>
        <v>10282751</v>
      </c>
      <c r="E26" s="27"/>
      <c r="F26" s="27"/>
    </row>
    <row r="27" spans="1:6" x14ac:dyDescent="0.2">
      <c r="A27">
        <f t="shared" si="0"/>
        <v>26</v>
      </c>
      <c r="B27" s="52" t="s">
        <v>251</v>
      </c>
      <c r="C27" t="s">
        <v>347</v>
      </c>
      <c r="D27" s="27">
        <f>INDEX(rgbName!B:B,MATCH(C27,rgbName!A:A,0))</f>
        <v>11266043</v>
      </c>
      <c r="E27" s="27"/>
      <c r="F27" s="27"/>
    </row>
    <row r="28" spans="1:6" x14ac:dyDescent="0.2">
      <c r="A28">
        <f t="shared" si="0"/>
        <v>27</v>
      </c>
      <c r="B28" s="27" t="s">
        <v>242</v>
      </c>
      <c r="C28" t="s">
        <v>283</v>
      </c>
      <c r="D28" s="27">
        <f>INDEX(rgbName!B:B,MATCH(C28,rgbName!A:A,0))</f>
        <v>4836089</v>
      </c>
      <c r="E28" s="27"/>
      <c r="F28" s="27"/>
    </row>
    <row r="29" spans="1:6" x14ac:dyDescent="0.2">
      <c r="A29">
        <f t="shared" si="0"/>
        <v>28</v>
      </c>
      <c r="B29" s="27" t="s">
        <v>243</v>
      </c>
      <c r="C29" t="s">
        <v>353</v>
      </c>
      <c r="D29" s="27">
        <f>INDEX(rgbName!B:B,MATCH(C29,rgbName!A:A,0))</f>
        <v>12779519</v>
      </c>
      <c r="E29" s="27"/>
      <c r="F29" s="27"/>
    </row>
    <row r="30" spans="1:6" x14ac:dyDescent="0.2">
      <c r="A30">
        <f t="shared" si="0"/>
        <v>29</v>
      </c>
      <c r="B30" t="s">
        <v>249</v>
      </c>
      <c r="C30" t="s">
        <v>3798</v>
      </c>
      <c r="D30" s="27">
        <f>INDEX(rgbName!B:B,MATCH(C30,rgbName!A:A,0))</f>
        <v>7780796</v>
      </c>
      <c r="E30" s="27"/>
      <c r="F30" s="27"/>
    </row>
    <row r="31" spans="1:6" x14ac:dyDescent="0.2">
      <c r="A31">
        <f t="shared" si="0"/>
        <v>30</v>
      </c>
      <c r="B31" s="27" t="s">
        <v>241</v>
      </c>
      <c r="C31" t="s">
        <v>4010</v>
      </c>
      <c r="D31" s="27">
        <f>INDEX(rgbName!B:B,MATCH(C31,rgbName!A:A,0))</f>
        <v>12776942</v>
      </c>
      <c r="E31" s="27"/>
      <c r="F31" s="27"/>
    </row>
    <row r="32" spans="1:6" x14ac:dyDescent="0.2">
      <c r="A32">
        <f t="shared" si="0"/>
        <v>31</v>
      </c>
      <c r="B32" s="27" t="s">
        <v>257</v>
      </c>
      <c r="C32" t="s">
        <v>4012</v>
      </c>
      <c r="D32" s="27">
        <f>INDEX(rgbName!B:B,MATCH(C32,rgbName!A:A,0))</f>
        <v>5074509</v>
      </c>
      <c r="E32" s="27"/>
      <c r="F32" s="27"/>
    </row>
    <row r="33" spans="1:6" x14ac:dyDescent="0.2">
      <c r="A33">
        <f t="shared" si="0"/>
        <v>32</v>
      </c>
      <c r="B33" s="27" t="s">
        <v>248</v>
      </c>
      <c r="C33" t="s">
        <v>275</v>
      </c>
      <c r="D33" s="27">
        <f>INDEX(rgbName!B:B,MATCH(C33,rgbName!A:A,0))</f>
        <v>13365503</v>
      </c>
      <c r="E33" s="27"/>
      <c r="F33" s="27"/>
    </row>
    <row r="34" spans="1:6" x14ac:dyDescent="0.2">
      <c r="A34">
        <f t="shared" si="0"/>
        <v>33</v>
      </c>
      <c r="B34" s="27" t="s">
        <v>246</v>
      </c>
      <c r="C34" t="s">
        <v>4010</v>
      </c>
      <c r="D34" s="27">
        <f>INDEX(rgbName!B:B,MATCH(C34,rgbName!A:A,0))</f>
        <v>12776942</v>
      </c>
      <c r="E34" s="27"/>
      <c r="F34" s="27"/>
    </row>
    <row r="35" spans="1:6" x14ac:dyDescent="0.2">
      <c r="A35">
        <f t="shared" ref="A35:A52" si="1">A34+1</f>
        <v>34</v>
      </c>
      <c r="B35" s="27" t="s">
        <v>207</v>
      </c>
      <c r="C35" t="s">
        <v>351</v>
      </c>
      <c r="D35" s="27">
        <f>INDEX(rgbName!B:B,MATCH(C35,rgbName!A:A,0))</f>
        <v>10282751</v>
      </c>
      <c r="E35" s="27"/>
      <c r="F35" s="27"/>
    </row>
    <row r="36" spans="1:6" x14ac:dyDescent="0.2">
      <c r="A36">
        <f t="shared" si="1"/>
        <v>35</v>
      </c>
      <c r="B36" s="27" t="s">
        <v>244</v>
      </c>
      <c r="C36" t="s">
        <v>390</v>
      </c>
      <c r="D36" s="27">
        <f>INDEX(rgbName!B:B,MATCH(C36,rgbName!A:A,0))</f>
        <v>6341800</v>
      </c>
      <c r="E36" s="27"/>
      <c r="F36" s="27"/>
    </row>
    <row r="37" spans="1:6" x14ac:dyDescent="0.2">
      <c r="A37">
        <f t="shared" si="1"/>
        <v>36</v>
      </c>
      <c r="B37" s="27" t="s">
        <v>258</v>
      </c>
      <c r="C37" t="s">
        <v>411</v>
      </c>
      <c r="D37" s="27">
        <f>INDEX(rgbName!B:B,MATCH(C37,rgbName!A:A,0))</f>
        <v>13293195</v>
      </c>
      <c r="E37" s="27"/>
      <c r="F37" s="27"/>
    </row>
    <row r="38" spans="1:6" x14ac:dyDescent="0.2">
      <c r="A38">
        <f t="shared" si="1"/>
        <v>37</v>
      </c>
      <c r="B38" s="27" t="s">
        <v>253</v>
      </c>
      <c r="C38" t="s">
        <v>283</v>
      </c>
      <c r="D38" s="27">
        <f>INDEX(rgbName!B:B,MATCH(C38,rgbName!A:A,0))</f>
        <v>4836089</v>
      </c>
      <c r="E38" s="27"/>
      <c r="F38" s="27"/>
    </row>
    <row r="39" spans="1:6" x14ac:dyDescent="0.2">
      <c r="A39">
        <f t="shared" si="1"/>
        <v>38</v>
      </c>
      <c r="B39" s="27" t="s">
        <v>240</v>
      </c>
      <c r="C39" t="s">
        <v>275</v>
      </c>
      <c r="D39" s="27">
        <f>INDEX(rgbName!B:B,MATCH(C39,rgbName!A:A,0))</f>
        <v>13365503</v>
      </c>
      <c r="E39" s="27"/>
      <c r="F39" s="27"/>
    </row>
    <row r="40" spans="1:6" x14ac:dyDescent="0.2">
      <c r="A40">
        <f t="shared" si="1"/>
        <v>39</v>
      </c>
      <c r="B40" t="s">
        <v>252</v>
      </c>
      <c r="C40" t="s">
        <v>3803</v>
      </c>
      <c r="D40" s="27">
        <f>INDEX(rgbName!B:B,MATCH(C40,rgbName!A:A,0))</f>
        <v>3678070</v>
      </c>
      <c r="E40" s="27"/>
      <c r="F40" s="27"/>
    </row>
    <row r="41" spans="1:6" x14ac:dyDescent="0.2">
      <c r="A41">
        <f t="shared" si="1"/>
        <v>40</v>
      </c>
      <c r="B41" s="27" t="s">
        <v>259</v>
      </c>
      <c r="C41" t="s">
        <v>356</v>
      </c>
      <c r="D41" s="27">
        <f>INDEX(rgbName!B:B,MATCH(C41,rgbName!A:A,0))</f>
        <v>4041727</v>
      </c>
      <c r="E41" s="27"/>
      <c r="F41" s="27"/>
    </row>
    <row r="42" spans="1:6" x14ac:dyDescent="0.2">
      <c r="A42">
        <f t="shared" si="1"/>
        <v>41</v>
      </c>
      <c r="B42" s="27" t="s">
        <v>245</v>
      </c>
      <c r="C42" t="s">
        <v>275</v>
      </c>
      <c r="D42" s="27">
        <f>INDEX(rgbName!B:B,MATCH(C42,rgbName!A:A,0))</f>
        <v>13365503</v>
      </c>
      <c r="E42" s="27"/>
      <c r="F42" s="27"/>
    </row>
    <row r="43" spans="1:6" x14ac:dyDescent="0.2">
      <c r="A43">
        <f t="shared" si="1"/>
        <v>42</v>
      </c>
      <c r="B43" s="27" t="s">
        <v>287</v>
      </c>
      <c r="C43" t="s">
        <v>3797</v>
      </c>
      <c r="D43" s="27">
        <f>INDEX(rgbName!B:B,MATCH(C43,rgbName!A:A,0))</f>
        <v>13479505</v>
      </c>
      <c r="E43" s="27"/>
      <c r="F43" s="27"/>
    </row>
    <row r="44" spans="1:6" x14ac:dyDescent="0.2">
      <c r="A44">
        <f t="shared" si="1"/>
        <v>43</v>
      </c>
      <c r="B44" s="27" t="s">
        <v>288</v>
      </c>
      <c r="C44" t="s">
        <v>3800</v>
      </c>
      <c r="D44" s="27">
        <f>INDEX(rgbName!B:B,MATCH(C44,rgbName!A:A,0))</f>
        <v>5269122</v>
      </c>
      <c r="E44" s="27"/>
      <c r="F44" s="27"/>
    </row>
    <row r="45" spans="1:6" x14ac:dyDescent="0.2">
      <c r="A45">
        <f t="shared" si="1"/>
        <v>44</v>
      </c>
      <c r="B45" s="27" t="s">
        <v>289</v>
      </c>
      <c r="C45" t="s">
        <v>3796</v>
      </c>
      <c r="D45" s="27">
        <f>INDEX(rgbName!B:B,MATCH(C45,rgbName!A:A,0))</f>
        <v>7366424</v>
      </c>
      <c r="E45" s="27"/>
      <c r="F45" s="27"/>
    </row>
    <row r="46" spans="1:6" x14ac:dyDescent="0.2">
      <c r="A46">
        <f t="shared" si="1"/>
        <v>45</v>
      </c>
      <c r="B46" s="27" t="s">
        <v>290</v>
      </c>
      <c r="C46" t="s">
        <v>3962</v>
      </c>
      <c r="D46" s="27">
        <f>INDEX(rgbName!B:B,MATCH(C46,rgbName!A:A,0))</f>
        <v>13421567</v>
      </c>
      <c r="E46" s="27"/>
      <c r="F46" s="27"/>
    </row>
    <row r="47" spans="1:6" x14ac:dyDescent="0.2">
      <c r="A47">
        <f t="shared" si="1"/>
        <v>46</v>
      </c>
      <c r="B47" s="27" t="s">
        <v>291</v>
      </c>
      <c r="C47" t="s">
        <v>278</v>
      </c>
      <c r="D47" s="27">
        <f>INDEX(rgbName!B:B,MATCH(C47,rgbName!A:A,0))</f>
        <v>9737364</v>
      </c>
      <c r="E47" s="27"/>
      <c r="F47" s="27"/>
    </row>
    <row r="48" spans="1:6" x14ac:dyDescent="0.2">
      <c r="A48">
        <f t="shared" si="1"/>
        <v>47</v>
      </c>
      <c r="B48" s="27" t="s">
        <v>292</v>
      </c>
      <c r="C48" t="s">
        <v>333</v>
      </c>
      <c r="D48" s="27">
        <f>INDEX(rgbName!B:B,MATCH(C48,rgbName!A:A,0))</f>
        <v>12225723</v>
      </c>
      <c r="E48" s="27"/>
      <c r="F48" s="27"/>
    </row>
    <row r="49" spans="1:6" x14ac:dyDescent="0.2">
      <c r="A49">
        <f t="shared" si="1"/>
        <v>48</v>
      </c>
      <c r="B49" s="27" t="s">
        <v>286</v>
      </c>
      <c r="C49" t="s">
        <v>283</v>
      </c>
      <c r="D49" s="27">
        <f>INDEX(rgbName!B:B,MATCH(C49,rgbName!A:A,0))</f>
        <v>4836089</v>
      </c>
      <c r="E49" s="27"/>
      <c r="F49" s="27"/>
    </row>
    <row r="50" spans="1:6" x14ac:dyDescent="0.2">
      <c r="A50">
        <f t="shared" si="1"/>
        <v>49</v>
      </c>
      <c r="B50" t="s">
        <v>293</v>
      </c>
      <c r="C50" t="s">
        <v>371</v>
      </c>
      <c r="D50" s="27">
        <f>INDEX(rgbName!B:B,MATCH(C50,rgbName!A:A,0))</f>
        <v>8549823</v>
      </c>
      <c r="E50" s="27"/>
      <c r="F50" s="27"/>
    </row>
    <row r="51" spans="1:6" x14ac:dyDescent="0.2">
      <c r="A51">
        <f t="shared" si="1"/>
        <v>50</v>
      </c>
      <c r="B51" s="27" t="s">
        <v>294</v>
      </c>
      <c r="C51" t="s">
        <v>3801</v>
      </c>
      <c r="D51" s="27">
        <f>INDEX(rgbName!B:B,MATCH(C51,rgbName!A:A,0))</f>
        <v>3374528</v>
      </c>
      <c r="E51" s="27"/>
      <c r="F51" s="27"/>
    </row>
    <row r="52" spans="1:6" x14ac:dyDescent="0.2">
      <c r="A52">
        <f t="shared" si="1"/>
        <v>51</v>
      </c>
      <c r="B52" s="27" t="s">
        <v>295</v>
      </c>
      <c r="C52" t="s">
        <v>3961</v>
      </c>
      <c r="D52" s="27">
        <f>INDEX(rgbName!B:B,MATCH(C52,rgbName!A:A,0))</f>
        <v>13152511</v>
      </c>
      <c r="E52" s="27"/>
      <c r="F52" s="27"/>
    </row>
    <row r="53" spans="1:6" x14ac:dyDescent="0.2">
      <c r="A53">
        <v>52</v>
      </c>
      <c r="B53" s="27" t="s">
        <v>296</v>
      </c>
      <c r="C53" t="s">
        <v>3799</v>
      </c>
      <c r="D53" s="27">
        <f>INDEX(rgbName!B:B,MATCH(C53,rgbName!A:A,0))</f>
        <v>4739459</v>
      </c>
      <c r="E53" s="27"/>
      <c r="F53" s="27"/>
    </row>
    <row r="54" spans="1:6" x14ac:dyDescent="0.2">
      <c r="E54" s="27"/>
    </row>
    <row r="55" spans="1:6" x14ac:dyDescent="0.2">
      <c r="E55" s="27"/>
    </row>
    <row r="56" spans="1:6" x14ac:dyDescent="0.2">
      <c r="E56" s="27"/>
    </row>
    <row r="57" spans="1:6" x14ac:dyDescent="0.2">
      <c r="E57" s="27"/>
    </row>
    <row r="58" spans="1:6" x14ac:dyDescent="0.2">
      <c r="E58" s="27"/>
    </row>
    <row r="59" spans="1:6" x14ac:dyDescent="0.2">
      <c r="E59" s="27"/>
    </row>
    <row r="60" spans="1:6" x14ac:dyDescent="0.2">
      <c r="E60" s="27"/>
    </row>
    <row r="61" spans="1:6" x14ac:dyDescent="0.2">
      <c r="E61" s="27"/>
    </row>
    <row r="62" spans="1:6" x14ac:dyDescent="0.2">
      <c r="E62" s="27"/>
    </row>
    <row r="63" spans="1:6" x14ac:dyDescent="0.2">
      <c r="E63" s="27"/>
    </row>
    <row r="64" spans="1:6" x14ac:dyDescent="0.2">
      <c r="E64" s="27"/>
    </row>
    <row r="65" spans="5:5" x14ac:dyDescent="0.2">
      <c r="E65" s="27"/>
    </row>
    <row r="66" spans="5:5" x14ac:dyDescent="0.2">
      <c r="E66" s="27"/>
    </row>
    <row r="67" spans="5:5" x14ac:dyDescent="0.2">
      <c r="E67" s="27"/>
    </row>
    <row r="68" spans="5:5" x14ac:dyDescent="0.2">
      <c r="E68" s="27"/>
    </row>
    <row r="69" spans="5:5" x14ac:dyDescent="0.2">
      <c r="E69" s="27"/>
    </row>
    <row r="70" spans="5:5" x14ac:dyDescent="0.2">
      <c r="E70" s="27"/>
    </row>
    <row r="71" spans="5:5" x14ac:dyDescent="0.2">
      <c r="E71" s="27"/>
    </row>
    <row r="72" spans="5:5" x14ac:dyDescent="0.2">
      <c r="E72" s="27"/>
    </row>
    <row r="73" spans="5:5" x14ac:dyDescent="0.2">
      <c r="E73" s="27"/>
    </row>
    <row r="74" spans="5:5" x14ac:dyDescent="0.2">
      <c r="E74" s="27"/>
    </row>
    <row r="75" spans="5:5" x14ac:dyDescent="0.2">
      <c r="E75" s="27"/>
    </row>
    <row r="76" spans="5:5" x14ac:dyDescent="0.2">
      <c r="E76" s="27"/>
    </row>
    <row r="77" spans="5:5" x14ac:dyDescent="0.2">
      <c r="E77" s="27"/>
    </row>
    <row r="78" spans="5:5" x14ac:dyDescent="0.2">
      <c r="E78" s="27"/>
    </row>
    <row r="79" spans="5:5" x14ac:dyDescent="0.2">
      <c r="E79" s="27"/>
    </row>
    <row r="80" spans="5:5" x14ac:dyDescent="0.2">
      <c r="E80" s="27"/>
    </row>
    <row r="81" spans="5:5" x14ac:dyDescent="0.2">
      <c r="E81" s="27"/>
    </row>
    <row r="82" spans="5:5" x14ac:dyDescent="0.2">
      <c r="E82" s="27"/>
    </row>
    <row r="83" spans="5:5" x14ac:dyDescent="0.2">
      <c r="E83" s="27"/>
    </row>
    <row r="84" spans="5:5" x14ac:dyDescent="0.2">
      <c r="E84" s="27"/>
    </row>
    <row r="85" spans="5:5" x14ac:dyDescent="0.2">
      <c r="E85" s="27"/>
    </row>
    <row r="86" spans="5:5" x14ac:dyDescent="0.2">
      <c r="E86" s="27"/>
    </row>
    <row r="87" spans="5:5" x14ac:dyDescent="0.2">
      <c r="E87" s="27"/>
    </row>
    <row r="88" spans="5:5" x14ac:dyDescent="0.2">
      <c r="E88" s="27"/>
    </row>
    <row r="89" spans="5:5" x14ac:dyDescent="0.2">
      <c r="E89" s="27"/>
    </row>
    <row r="90" spans="5:5" x14ac:dyDescent="0.2">
      <c r="E90" s="27"/>
    </row>
    <row r="91" spans="5:5" x14ac:dyDescent="0.2">
      <c r="E91" s="27"/>
    </row>
    <row r="92" spans="5:5" x14ac:dyDescent="0.2">
      <c r="E92" s="27"/>
    </row>
    <row r="93" spans="5:5" x14ac:dyDescent="0.2">
      <c r="E93" s="27"/>
    </row>
    <row r="94" spans="5:5" x14ac:dyDescent="0.2">
      <c r="E94" s="27"/>
    </row>
    <row r="95" spans="5:5" x14ac:dyDescent="0.2">
      <c r="E95" s="27"/>
    </row>
    <row r="96" spans="5:5" x14ac:dyDescent="0.2">
      <c r="E96" s="27"/>
    </row>
    <row r="97" spans="5:5" x14ac:dyDescent="0.2">
      <c r="E97" s="27"/>
    </row>
    <row r="98" spans="5:5" x14ac:dyDescent="0.2">
      <c r="E98" s="27"/>
    </row>
    <row r="99" spans="5:5" x14ac:dyDescent="0.2">
      <c r="E99" s="27"/>
    </row>
    <row r="100" spans="5:5" x14ac:dyDescent="0.2">
      <c r="E100" s="27"/>
    </row>
    <row r="101" spans="5:5" x14ac:dyDescent="0.2">
      <c r="E101" s="27"/>
    </row>
    <row r="102" spans="5:5" x14ac:dyDescent="0.2">
      <c r="E102" s="27"/>
    </row>
    <row r="103" spans="5:5" x14ac:dyDescent="0.2">
      <c r="E103" s="27"/>
    </row>
    <row r="104" spans="5:5" x14ac:dyDescent="0.2">
      <c r="E104" s="27"/>
    </row>
    <row r="105" spans="5:5" x14ac:dyDescent="0.2">
      <c r="E105" s="27"/>
    </row>
    <row r="106" spans="5:5" x14ac:dyDescent="0.2">
      <c r="E106" s="27"/>
    </row>
    <row r="107" spans="5:5" x14ac:dyDescent="0.2">
      <c r="E107" s="27"/>
    </row>
    <row r="108" spans="5:5" x14ac:dyDescent="0.2">
      <c r="E108" s="27"/>
    </row>
    <row r="109" spans="5:5" x14ac:dyDescent="0.2">
      <c r="E109" s="27"/>
    </row>
    <row r="110" spans="5:5" x14ac:dyDescent="0.2">
      <c r="E110" s="27"/>
    </row>
    <row r="111" spans="5:5" x14ac:dyDescent="0.2">
      <c r="E111" s="27"/>
    </row>
    <row r="112" spans="5:5" x14ac:dyDescent="0.2">
      <c r="E112" s="27"/>
    </row>
    <row r="113" spans="5:5" x14ac:dyDescent="0.2">
      <c r="E113" s="27"/>
    </row>
    <row r="114" spans="5:5" x14ac:dyDescent="0.2">
      <c r="E114" s="27"/>
    </row>
    <row r="115" spans="5:5" x14ac:dyDescent="0.2">
      <c r="E115" s="27"/>
    </row>
    <row r="116" spans="5:5" x14ac:dyDescent="0.2">
      <c r="E116" s="27"/>
    </row>
    <row r="117" spans="5:5" x14ac:dyDescent="0.2">
      <c r="E117" s="27"/>
    </row>
    <row r="118" spans="5:5" x14ac:dyDescent="0.2">
      <c r="E118" s="27"/>
    </row>
    <row r="119" spans="5:5" x14ac:dyDescent="0.2">
      <c r="E119" s="27"/>
    </row>
    <row r="120" spans="5:5" x14ac:dyDescent="0.2">
      <c r="E120" s="27"/>
    </row>
    <row r="121" spans="5:5" x14ac:dyDescent="0.2">
      <c r="E121" s="27"/>
    </row>
    <row r="122" spans="5:5" x14ac:dyDescent="0.2">
      <c r="E122" s="27"/>
    </row>
    <row r="123" spans="5:5" x14ac:dyDescent="0.2">
      <c r="E123" s="27"/>
    </row>
    <row r="124" spans="5:5" x14ac:dyDescent="0.2">
      <c r="E124" s="27"/>
    </row>
    <row r="125" spans="5:5" x14ac:dyDescent="0.2">
      <c r="E125" s="27"/>
    </row>
    <row r="126" spans="5:5" x14ac:dyDescent="0.2">
      <c r="E126" s="27"/>
    </row>
    <row r="127" spans="5:5" x14ac:dyDescent="0.2">
      <c r="E127" s="27"/>
    </row>
    <row r="128" spans="5:5" x14ac:dyDescent="0.2">
      <c r="E128" s="27"/>
    </row>
    <row r="129" spans="5:5" x14ac:dyDescent="0.2">
      <c r="E129" s="27"/>
    </row>
    <row r="130" spans="5:5" x14ac:dyDescent="0.2">
      <c r="E130" s="27"/>
    </row>
    <row r="131" spans="5:5" x14ac:dyDescent="0.2">
      <c r="E131" s="27"/>
    </row>
    <row r="132" spans="5:5" x14ac:dyDescent="0.2">
      <c r="E132" s="27"/>
    </row>
    <row r="133" spans="5:5" x14ac:dyDescent="0.2">
      <c r="E133" s="27"/>
    </row>
    <row r="134" spans="5:5" x14ac:dyDescent="0.2">
      <c r="E134" s="27"/>
    </row>
    <row r="135" spans="5:5" x14ac:dyDescent="0.2">
      <c r="E135" s="27"/>
    </row>
    <row r="136" spans="5:5" x14ac:dyDescent="0.2">
      <c r="E136" s="27"/>
    </row>
    <row r="137" spans="5:5" x14ac:dyDescent="0.2">
      <c r="E137" s="27"/>
    </row>
    <row r="138" spans="5:5" x14ac:dyDescent="0.2">
      <c r="E138" s="27"/>
    </row>
    <row r="139" spans="5:5" x14ac:dyDescent="0.2">
      <c r="E139" s="27"/>
    </row>
    <row r="140" spans="5:5" x14ac:dyDescent="0.2">
      <c r="E140" s="27"/>
    </row>
    <row r="141" spans="5:5" x14ac:dyDescent="0.2">
      <c r="E141" s="27"/>
    </row>
    <row r="142" spans="5:5" x14ac:dyDescent="0.2">
      <c r="E142" s="27"/>
    </row>
    <row r="143" spans="5:5" x14ac:dyDescent="0.2">
      <c r="E143" s="27"/>
    </row>
    <row r="144" spans="5:5" x14ac:dyDescent="0.2">
      <c r="E144" s="27"/>
    </row>
    <row r="145" spans="5:5" x14ac:dyDescent="0.2">
      <c r="E145" s="27"/>
    </row>
    <row r="146" spans="5:5" x14ac:dyDescent="0.2">
      <c r="E146" s="27"/>
    </row>
    <row r="147" spans="5:5" x14ac:dyDescent="0.2">
      <c r="E147" s="27"/>
    </row>
    <row r="148" spans="5:5" x14ac:dyDescent="0.2">
      <c r="E148" s="27"/>
    </row>
    <row r="149" spans="5:5" x14ac:dyDescent="0.2">
      <c r="E149" s="27"/>
    </row>
    <row r="150" spans="5:5" x14ac:dyDescent="0.2">
      <c r="E150" s="27"/>
    </row>
    <row r="151" spans="5:5" x14ac:dyDescent="0.2">
      <c r="E151" s="27"/>
    </row>
    <row r="152" spans="5:5" x14ac:dyDescent="0.2">
      <c r="E152" s="27"/>
    </row>
    <row r="153" spans="5:5" x14ac:dyDescent="0.2">
      <c r="E153" s="27"/>
    </row>
    <row r="154" spans="5:5" x14ac:dyDescent="0.2">
      <c r="E154" s="27"/>
    </row>
    <row r="155" spans="5:5" x14ac:dyDescent="0.2">
      <c r="E155" s="27"/>
    </row>
    <row r="156" spans="5:5" x14ac:dyDescent="0.2">
      <c r="E156" s="27"/>
    </row>
    <row r="157" spans="5:5" x14ac:dyDescent="0.2">
      <c r="E157" s="27"/>
    </row>
    <row r="158" spans="5:5" x14ac:dyDescent="0.2">
      <c r="E158" s="27"/>
    </row>
    <row r="159" spans="5:5" x14ac:dyDescent="0.2">
      <c r="E159" s="27"/>
    </row>
    <row r="160" spans="5:5" x14ac:dyDescent="0.2">
      <c r="E160" s="27"/>
    </row>
    <row r="161" spans="5:5" x14ac:dyDescent="0.2">
      <c r="E161" s="27"/>
    </row>
    <row r="162" spans="5:5" x14ac:dyDescent="0.2">
      <c r="E162" s="27"/>
    </row>
    <row r="163" spans="5:5" x14ac:dyDescent="0.2">
      <c r="E163" s="27"/>
    </row>
    <row r="164" spans="5:5" x14ac:dyDescent="0.2">
      <c r="E164" s="27"/>
    </row>
    <row r="165" spans="5:5" x14ac:dyDescent="0.2">
      <c r="E165" s="27"/>
    </row>
    <row r="166" spans="5:5" x14ac:dyDescent="0.2">
      <c r="E166" s="27"/>
    </row>
    <row r="167" spans="5:5" x14ac:dyDescent="0.2">
      <c r="E167" s="27"/>
    </row>
    <row r="168" spans="5:5" x14ac:dyDescent="0.2">
      <c r="E168" s="27"/>
    </row>
    <row r="169" spans="5:5" x14ac:dyDescent="0.2">
      <c r="E169" s="27"/>
    </row>
    <row r="170" spans="5:5" x14ac:dyDescent="0.2">
      <c r="E170" s="27"/>
    </row>
    <row r="171" spans="5:5" x14ac:dyDescent="0.2">
      <c r="E171" s="27"/>
    </row>
    <row r="172" spans="5:5" x14ac:dyDescent="0.2">
      <c r="E172" s="27"/>
    </row>
    <row r="173" spans="5:5" x14ac:dyDescent="0.2">
      <c r="E173" s="27"/>
    </row>
    <row r="174" spans="5:5" x14ac:dyDescent="0.2">
      <c r="E174" s="27"/>
    </row>
    <row r="175" spans="5:5" x14ac:dyDescent="0.2">
      <c r="E175" s="27"/>
    </row>
    <row r="176" spans="5:5" x14ac:dyDescent="0.2">
      <c r="E176" s="27"/>
    </row>
    <row r="177" spans="5:5" x14ac:dyDescent="0.2">
      <c r="E177" s="27"/>
    </row>
    <row r="178" spans="5:5" x14ac:dyDescent="0.2">
      <c r="E178" s="27"/>
    </row>
    <row r="179" spans="5:5" x14ac:dyDescent="0.2">
      <c r="E179" s="27"/>
    </row>
    <row r="180" spans="5:5" x14ac:dyDescent="0.2">
      <c r="E180" s="27"/>
    </row>
    <row r="181" spans="5:5" x14ac:dyDescent="0.2">
      <c r="E181" s="27"/>
    </row>
    <row r="182" spans="5:5" x14ac:dyDescent="0.2">
      <c r="E182" s="27"/>
    </row>
    <row r="183" spans="5:5" x14ac:dyDescent="0.2">
      <c r="E183" s="27"/>
    </row>
    <row r="184" spans="5:5" x14ac:dyDescent="0.2">
      <c r="E184" s="27"/>
    </row>
    <row r="185" spans="5:5" x14ac:dyDescent="0.2">
      <c r="E185" s="27"/>
    </row>
    <row r="186" spans="5:5" x14ac:dyDescent="0.2">
      <c r="E186" s="27"/>
    </row>
    <row r="187" spans="5:5" x14ac:dyDescent="0.2">
      <c r="E187" s="27"/>
    </row>
    <row r="188" spans="5:5" x14ac:dyDescent="0.2">
      <c r="E188" s="27"/>
    </row>
    <row r="189" spans="5:5" x14ac:dyDescent="0.2">
      <c r="E189" s="27"/>
    </row>
    <row r="190" spans="5:5" x14ac:dyDescent="0.2">
      <c r="E190" s="27"/>
    </row>
    <row r="191" spans="5:5" x14ac:dyDescent="0.2">
      <c r="E191" s="27"/>
    </row>
    <row r="192" spans="5:5" x14ac:dyDescent="0.2">
      <c r="E192" s="27"/>
    </row>
    <row r="193" spans="5:5" x14ac:dyDescent="0.2">
      <c r="E193" s="27"/>
    </row>
    <row r="194" spans="5:5" x14ac:dyDescent="0.2">
      <c r="E194" s="27"/>
    </row>
    <row r="195" spans="5:5" x14ac:dyDescent="0.2">
      <c r="E195" s="27"/>
    </row>
    <row r="196" spans="5:5" x14ac:dyDescent="0.2">
      <c r="E196" s="27"/>
    </row>
    <row r="197" spans="5:5" x14ac:dyDescent="0.2">
      <c r="E197" s="27"/>
    </row>
    <row r="198" spans="5:5" x14ac:dyDescent="0.2">
      <c r="E198" s="27"/>
    </row>
    <row r="199" spans="5:5" x14ac:dyDescent="0.2">
      <c r="E199" s="27"/>
    </row>
    <row r="200" spans="5:5" x14ac:dyDescent="0.2">
      <c r="E200" s="27"/>
    </row>
    <row r="201" spans="5:5" x14ac:dyDescent="0.2">
      <c r="E201" s="27"/>
    </row>
    <row r="202" spans="5:5" x14ac:dyDescent="0.2">
      <c r="E202" s="27"/>
    </row>
    <row r="203" spans="5:5" x14ac:dyDescent="0.2">
      <c r="E203" s="27"/>
    </row>
    <row r="204" spans="5:5" x14ac:dyDescent="0.2">
      <c r="E204" s="27"/>
    </row>
    <row r="205" spans="5:5" x14ac:dyDescent="0.2">
      <c r="E205" s="27"/>
    </row>
    <row r="206" spans="5:5" x14ac:dyDescent="0.2">
      <c r="E206" s="27"/>
    </row>
    <row r="207" spans="5:5" x14ac:dyDescent="0.2">
      <c r="E207" s="27"/>
    </row>
    <row r="208" spans="5:5" x14ac:dyDescent="0.2">
      <c r="E208" s="27"/>
    </row>
    <row r="209" spans="5:5" x14ac:dyDescent="0.2">
      <c r="E209" s="27"/>
    </row>
    <row r="210" spans="5:5" x14ac:dyDescent="0.2">
      <c r="E210" s="27"/>
    </row>
    <row r="211" spans="5:5" x14ac:dyDescent="0.2">
      <c r="E211" s="27"/>
    </row>
    <row r="212" spans="5:5" x14ac:dyDescent="0.2">
      <c r="E212" s="27"/>
    </row>
    <row r="213" spans="5:5" x14ac:dyDescent="0.2">
      <c r="E213" s="27"/>
    </row>
    <row r="214" spans="5:5" x14ac:dyDescent="0.2">
      <c r="E214" s="27"/>
    </row>
    <row r="215" spans="5:5" x14ac:dyDescent="0.2">
      <c r="E215" s="27"/>
    </row>
    <row r="216" spans="5:5" x14ac:dyDescent="0.2">
      <c r="E216" s="27"/>
    </row>
    <row r="217" spans="5:5" x14ac:dyDescent="0.2">
      <c r="E217" s="27"/>
    </row>
    <row r="218" spans="5:5" x14ac:dyDescent="0.2">
      <c r="E218" s="27"/>
    </row>
    <row r="219" spans="5:5" x14ac:dyDescent="0.2">
      <c r="E219" s="27"/>
    </row>
    <row r="220" spans="5:5" x14ac:dyDescent="0.2">
      <c r="E220" s="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7C90E-2DAC-4975-90D4-617E7D8B4C16}">
  <sheetPr codeName="Sheet1"/>
  <dimension ref="A1:G23"/>
  <sheetViews>
    <sheetView workbookViewId="0"/>
  </sheetViews>
  <sheetFormatPr defaultRowHeight="12.75" x14ac:dyDescent="0.2"/>
  <cols>
    <col min="1" max="1" width="14.28515625" customWidth="1"/>
    <col min="2" max="2" width="9.140625" style="297"/>
    <col min="3" max="3" width="9.140625" style="298"/>
    <col min="4" max="4" width="9.140625" style="297"/>
    <col min="5" max="5" width="9.140625" style="298"/>
    <col min="6" max="6" width="9.140625" style="297"/>
    <col min="7" max="7" width="9.140625" style="298"/>
  </cols>
  <sheetData>
    <row r="1" spans="1:7" x14ac:dyDescent="0.2">
      <c r="A1" t="s">
        <v>3806</v>
      </c>
      <c r="B1" s="297" t="str">
        <f>"ROW_"&amp;(COLUMN(B2))/2</f>
        <v>ROW_1</v>
      </c>
      <c r="C1" s="298" t="str">
        <f>"COL_"&amp;(COLUMN(C2)-1)/2</f>
        <v>COL_1</v>
      </c>
      <c r="D1" s="297" t="str">
        <f>"ROW_"&amp;(COLUMN(D2))/2</f>
        <v>ROW_2</v>
      </c>
      <c r="E1" s="298" t="str">
        <f>"COL_"&amp;(COLUMN(E2)-1)/2</f>
        <v>COL_2</v>
      </c>
      <c r="F1" s="297" t="str">
        <f>"ROW_"&amp;(COLUMN(F2))/2</f>
        <v>ROW_3</v>
      </c>
      <c r="G1" s="298" t="str">
        <f>"COL_"&amp;(COLUMN(G2)-1)/2</f>
        <v>COL_3</v>
      </c>
    </row>
    <row r="2" spans="1:7" x14ac:dyDescent="0.2">
      <c r="A2" t="s">
        <v>3807</v>
      </c>
      <c r="B2" s="297">
        <v>0</v>
      </c>
      <c r="C2" s="298">
        <v>0</v>
      </c>
      <c r="D2" s="297">
        <v>0</v>
      </c>
      <c r="E2" s="298">
        <v>1</v>
      </c>
      <c r="F2" s="297">
        <v>0</v>
      </c>
      <c r="G2" s="298">
        <v>2</v>
      </c>
    </row>
    <row r="3" spans="1:7" x14ac:dyDescent="0.2">
      <c r="A3" t="s">
        <v>3808</v>
      </c>
      <c r="B3" s="297">
        <v>1</v>
      </c>
      <c r="C3" s="298">
        <v>0</v>
      </c>
      <c r="D3" s="297">
        <v>1</v>
      </c>
      <c r="E3" s="298">
        <v>1</v>
      </c>
      <c r="F3" s="297">
        <v>1</v>
      </c>
      <c r="G3" s="298">
        <v>2</v>
      </c>
    </row>
    <row r="4" spans="1:7" x14ac:dyDescent="0.2">
      <c r="A4" t="s">
        <v>3809</v>
      </c>
      <c r="B4" s="297">
        <v>2</v>
      </c>
      <c r="C4" s="298">
        <v>0</v>
      </c>
      <c r="D4" s="297">
        <v>2</v>
      </c>
      <c r="E4" s="298">
        <v>1</v>
      </c>
      <c r="F4" s="297">
        <v>2</v>
      </c>
      <c r="G4" s="298">
        <v>2</v>
      </c>
    </row>
    <row r="5" spans="1:7" x14ac:dyDescent="0.2">
      <c r="A5" s="53" t="s">
        <v>3810</v>
      </c>
      <c r="B5" s="299">
        <v>0</v>
      </c>
      <c r="C5" s="300">
        <v>0</v>
      </c>
      <c r="D5" s="299">
        <v>1</v>
      </c>
      <c r="E5" s="300">
        <v>0</v>
      </c>
      <c r="F5" s="299">
        <v>2</v>
      </c>
      <c r="G5" s="300">
        <v>0</v>
      </c>
    </row>
    <row r="6" spans="1:7" x14ac:dyDescent="0.2">
      <c r="A6" s="53" t="s">
        <v>3811</v>
      </c>
      <c r="B6" s="299">
        <v>1</v>
      </c>
      <c r="C6" s="300">
        <v>1</v>
      </c>
      <c r="D6" s="299">
        <v>1</v>
      </c>
      <c r="E6" s="300">
        <v>1</v>
      </c>
      <c r="F6" s="299">
        <v>2</v>
      </c>
      <c r="G6" s="300">
        <v>1</v>
      </c>
    </row>
    <row r="7" spans="1:7" x14ac:dyDescent="0.2">
      <c r="A7" s="53" t="s">
        <v>3812</v>
      </c>
      <c r="B7" s="299">
        <v>2</v>
      </c>
      <c r="C7" s="300">
        <v>2</v>
      </c>
      <c r="D7" s="299">
        <v>2</v>
      </c>
      <c r="E7" s="300">
        <v>2</v>
      </c>
      <c r="F7" s="299">
        <v>2</v>
      </c>
      <c r="G7" s="300">
        <v>2</v>
      </c>
    </row>
    <row r="8" spans="1:7" x14ac:dyDescent="0.2">
      <c r="A8" t="s">
        <v>3813</v>
      </c>
      <c r="B8" s="297">
        <v>1</v>
      </c>
      <c r="C8" s="298">
        <v>0</v>
      </c>
      <c r="D8" s="297">
        <v>0</v>
      </c>
      <c r="E8" s="298">
        <v>1</v>
      </c>
      <c r="F8" s="297">
        <v>0</v>
      </c>
      <c r="G8" s="298">
        <v>2</v>
      </c>
    </row>
    <row r="9" spans="1:7" x14ac:dyDescent="0.2">
      <c r="A9" t="s">
        <v>3814</v>
      </c>
      <c r="B9" s="297">
        <v>2</v>
      </c>
      <c r="C9" s="298">
        <v>0</v>
      </c>
      <c r="D9" s="297">
        <v>1</v>
      </c>
      <c r="E9" s="298">
        <v>1</v>
      </c>
      <c r="F9" s="297">
        <v>1</v>
      </c>
      <c r="G9" s="298">
        <v>2</v>
      </c>
    </row>
    <row r="10" spans="1:7" x14ac:dyDescent="0.2">
      <c r="A10" s="53" t="s">
        <v>3815</v>
      </c>
      <c r="B10" s="299">
        <v>0</v>
      </c>
      <c r="C10" s="300">
        <v>0</v>
      </c>
      <c r="D10" s="299">
        <v>1</v>
      </c>
      <c r="E10" s="300">
        <v>1</v>
      </c>
      <c r="F10" s="299">
        <v>1</v>
      </c>
      <c r="G10" s="300">
        <v>2</v>
      </c>
    </row>
    <row r="11" spans="1:7" x14ac:dyDescent="0.2">
      <c r="A11" s="53" t="s">
        <v>3816</v>
      </c>
      <c r="B11" s="299">
        <v>1</v>
      </c>
      <c r="C11" s="300">
        <v>0</v>
      </c>
      <c r="D11" s="299">
        <v>2</v>
      </c>
      <c r="E11" s="300">
        <v>1</v>
      </c>
      <c r="F11" s="299">
        <v>2</v>
      </c>
      <c r="G11" s="300">
        <v>2</v>
      </c>
    </row>
    <row r="12" spans="1:7" x14ac:dyDescent="0.2">
      <c r="A12" t="s">
        <v>3817</v>
      </c>
      <c r="B12" s="297">
        <v>0</v>
      </c>
      <c r="C12" s="298">
        <v>0</v>
      </c>
      <c r="D12" s="297">
        <v>0</v>
      </c>
      <c r="E12" s="298">
        <v>1</v>
      </c>
      <c r="F12" s="297">
        <v>1</v>
      </c>
      <c r="G12" s="298">
        <v>2</v>
      </c>
    </row>
    <row r="13" spans="1:7" x14ac:dyDescent="0.2">
      <c r="A13" t="s">
        <v>3818</v>
      </c>
      <c r="B13" s="297">
        <v>1</v>
      </c>
      <c r="C13" s="298">
        <v>0</v>
      </c>
      <c r="D13" s="297">
        <v>2</v>
      </c>
      <c r="E13" s="298">
        <v>1</v>
      </c>
      <c r="F13" s="297">
        <v>2</v>
      </c>
      <c r="G13" s="298">
        <v>2</v>
      </c>
    </row>
    <row r="14" spans="1:7" x14ac:dyDescent="0.2">
      <c r="A14" s="53" t="s">
        <v>3819</v>
      </c>
      <c r="B14" s="299">
        <v>1</v>
      </c>
      <c r="C14" s="300">
        <v>0</v>
      </c>
      <c r="D14" s="299">
        <v>0</v>
      </c>
      <c r="E14" s="300">
        <v>1</v>
      </c>
      <c r="F14" s="299">
        <v>0</v>
      </c>
      <c r="G14" s="300">
        <v>2</v>
      </c>
    </row>
    <row r="15" spans="1:7" x14ac:dyDescent="0.2">
      <c r="A15" s="53" t="s">
        <v>3820</v>
      </c>
      <c r="B15" s="299">
        <v>2</v>
      </c>
      <c r="C15" s="300">
        <v>0</v>
      </c>
      <c r="D15" s="299">
        <v>1</v>
      </c>
      <c r="E15" s="300">
        <v>1</v>
      </c>
      <c r="F15" s="299">
        <v>1</v>
      </c>
      <c r="G15" s="300">
        <v>2</v>
      </c>
    </row>
    <row r="16" spans="1:7" x14ac:dyDescent="0.2">
      <c r="A16" t="s">
        <v>3821</v>
      </c>
      <c r="B16" s="297">
        <v>2</v>
      </c>
      <c r="C16" s="298">
        <v>0</v>
      </c>
      <c r="D16" s="297">
        <v>1</v>
      </c>
      <c r="E16" s="298">
        <v>1</v>
      </c>
      <c r="F16" s="297">
        <v>1</v>
      </c>
      <c r="G16" s="298">
        <v>0</v>
      </c>
    </row>
    <row r="17" spans="1:7" x14ac:dyDescent="0.2">
      <c r="A17" t="s">
        <v>3822</v>
      </c>
      <c r="B17" s="297">
        <v>2</v>
      </c>
      <c r="C17" s="298">
        <v>1</v>
      </c>
      <c r="D17" s="297">
        <v>1</v>
      </c>
      <c r="E17" s="298">
        <v>1</v>
      </c>
      <c r="F17" s="297">
        <v>1</v>
      </c>
      <c r="G17" s="298">
        <v>0</v>
      </c>
    </row>
    <row r="18" spans="1:7" x14ac:dyDescent="0.2">
      <c r="A18" t="s">
        <v>3823</v>
      </c>
      <c r="B18" s="297">
        <v>2</v>
      </c>
      <c r="C18" s="298">
        <v>1</v>
      </c>
      <c r="D18" s="297">
        <v>1</v>
      </c>
      <c r="E18" s="298">
        <v>0</v>
      </c>
      <c r="F18" s="297">
        <v>0</v>
      </c>
      <c r="G18" s="298">
        <v>0</v>
      </c>
    </row>
    <row r="19" spans="1:7" x14ac:dyDescent="0.2">
      <c r="A19" t="s">
        <v>3824</v>
      </c>
      <c r="B19" s="297">
        <v>2</v>
      </c>
      <c r="C19" s="298">
        <v>2</v>
      </c>
      <c r="D19" s="297">
        <v>1</v>
      </c>
      <c r="E19" s="298">
        <v>1</v>
      </c>
      <c r="F19" s="297">
        <v>0</v>
      </c>
      <c r="G19" s="298">
        <v>1</v>
      </c>
    </row>
    <row r="20" spans="1:7" x14ac:dyDescent="0.2">
      <c r="A20" t="s">
        <v>3825</v>
      </c>
      <c r="B20" s="297">
        <v>0</v>
      </c>
      <c r="C20" s="298">
        <v>0</v>
      </c>
      <c r="D20" s="297">
        <v>1</v>
      </c>
      <c r="E20" s="298">
        <v>1</v>
      </c>
      <c r="F20" s="297">
        <v>2</v>
      </c>
      <c r="G20" s="298">
        <v>1</v>
      </c>
    </row>
    <row r="21" spans="1:7" x14ac:dyDescent="0.2">
      <c r="A21" t="s">
        <v>3826</v>
      </c>
      <c r="B21" s="297">
        <v>0</v>
      </c>
      <c r="C21" s="298">
        <v>1</v>
      </c>
      <c r="D21" s="297">
        <v>1</v>
      </c>
      <c r="E21" s="298">
        <v>2</v>
      </c>
      <c r="F21" s="297">
        <v>2</v>
      </c>
      <c r="G21" s="298">
        <v>2</v>
      </c>
    </row>
    <row r="22" spans="1:7" x14ac:dyDescent="0.2">
      <c r="A22" t="s">
        <v>3827</v>
      </c>
      <c r="B22" s="297">
        <v>0</v>
      </c>
      <c r="C22" s="298">
        <v>1</v>
      </c>
      <c r="D22" s="297">
        <v>1</v>
      </c>
      <c r="E22" s="298">
        <v>0</v>
      </c>
      <c r="F22" s="297">
        <v>2</v>
      </c>
      <c r="G22" s="298">
        <v>0</v>
      </c>
    </row>
    <row r="23" spans="1:7" x14ac:dyDescent="0.2">
      <c r="A23" t="s">
        <v>3828</v>
      </c>
      <c r="B23" s="297">
        <v>0</v>
      </c>
      <c r="C23" s="298">
        <v>2</v>
      </c>
      <c r="D23" s="297">
        <v>1</v>
      </c>
      <c r="E23" s="298">
        <v>1</v>
      </c>
      <c r="F23" s="297">
        <v>2</v>
      </c>
      <c r="G23" s="298">
        <v>1</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1E851-F616-46A1-A39F-F0F59AE76399}">
  <sheetPr codeName="Sheet10"/>
  <dimension ref="A2:B34"/>
  <sheetViews>
    <sheetView topLeftCell="A13" workbookViewId="0">
      <selection activeCell="T5" sqref="T5"/>
    </sheetView>
  </sheetViews>
  <sheetFormatPr defaultRowHeight="12.75" x14ac:dyDescent="0.2"/>
  <cols>
    <col min="1" max="1" width="28.5703125" customWidth="1"/>
    <col min="2" max="2" width="50.28515625" style="295" customWidth="1"/>
  </cols>
  <sheetData>
    <row r="2" spans="1:2" x14ac:dyDescent="0.2">
      <c r="A2" t="s">
        <v>521</v>
      </c>
    </row>
    <row r="3" spans="1:2" x14ac:dyDescent="0.2">
      <c r="A3" t="s">
        <v>269</v>
      </c>
      <c r="B3" s="25" t="s">
        <v>278</v>
      </c>
    </row>
    <row r="4" spans="1:2" x14ac:dyDescent="0.2">
      <c r="A4" t="s">
        <v>270</v>
      </c>
      <c r="B4" s="25" t="s">
        <v>276</v>
      </c>
    </row>
    <row r="5" spans="1:2" x14ac:dyDescent="0.2">
      <c r="A5" t="s">
        <v>263</v>
      </c>
      <c r="B5" s="295">
        <v>20</v>
      </c>
    </row>
    <row r="6" spans="1:2" x14ac:dyDescent="0.2">
      <c r="A6" t="s">
        <v>264</v>
      </c>
      <c r="B6" s="295">
        <v>16</v>
      </c>
    </row>
    <row r="7" spans="1:2" x14ac:dyDescent="0.2">
      <c r="A7" t="s">
        <v>285</v>
      </c>
      <c r="B7" s="295" t="s">
        <v>2900</v>
      </c>
    </row>
    <row r="8" spans="1:2" x14ac:dyDescent="0.2">
      <c r="A8" t="s">
        <v>522</v>
      </c>
      <c r="B8" s="295" t="b">
        <v>0</v>
      </c>
    </row>
    <row r="9" spans="1:2" x14ac:dyDescent="0.2">
      <c r="A9" t="s">
        <v>523</v>
      </c>
      <c r="B9" s="295" t="b">
        <v>1</v>
      </c>
    </row>
    <row r="10" spans="1:2" x14ac:dyDescent="0.2">
      <c r="A10" t="s">
        <v>524</v>
      </c>
      <c r="B10" s="295" t="s">
        <v>526</v>
      </c>
    </row>
    <row r="11" spans="1:2" x14ac:dyDescent="0.2">
      <c r="A11" t="s">
        <v>525</v>
      </c>
      <c r="B11" s="295" t="b">
        <v>1</v>
      </c>
    </row>
    <row r="12" spans="1:2" x14ac:dyDescent="0.2">
      <c r="A12" t="s">
        <v>527</v>
      </c>
      <c r="B12" s="295" t="b">
        <v>1</v>
      </c>
    </row>
    <row r="13" spans="1:2" x14ac:dyDescent="0.2">
      <c r="A13" t="s">
        <v>528</v>
      </c>
      <c r="B13" s="295" t="b">
        <v>0</v>
      </c>
    </row>
    <row r="14" spans="1:2" x14ac:dyDescent="0.2">
      <c r="A14" t="s">
        <v>529</v>
      </c>
      <c r="B14" s="295" t="b">
        <v>0</v>
      </c>
    </row>
    <row r="15" spans="1:2" x14ac:dyDescent="0.2">
      <c r="A15" t="s">
        <v>530</v>
      </c>
      <c r="B15" s="295" t="b">
        <v>0</v>
      </c>
    </row>
    <row r="16" spans="1:2" x14ac:dyDescent="0.2">
      <c r="A16" t="s">
        <v>531</v>
      </c>
      <c r="B16" s="295">
        <v>10</v>
      </c>
    </row>
    <row r="17" spans="1:2" x14ac:dyDescent="0.2">
      <c r="A17" t="s">
        <v>536</v>
      </c>
      <c r="B17" s="295">
        <v>18</v>
      </c>
    </row>
    <row r="18" spans="1:2" x14ac:dyDescent="0.2">
      <c r="A18" t="s">
        <v>537</v>
      </c>
      <c r="B18" s="295">
        <v>320</v>
      </c>
    </row>
    <row r="19" spans="1:2" x14ac:dyDescent="0.2">
      <c r="A19" t="s">
        <v>538</v>
      </c>
      <c r="B19" s="295">
        <v>3</v>
      </c>
    </row>
    <row r="20" spans="1:2" x14ac:dyDescent="0.2">
      <c r="A20" t="s">
        <v>539</v>
      </c>
      <c r="B20" s="295">
        <v>25</v>
      </c>
    </row>
    <row r="21" spans="1:2" x14ac:dyDescent="0.2">
      <c r="A21" t="s">
        <v>1736</v>
      </c>
      <c r="B21" s="295" t="b">
        <v>1</v>
      </c>
    </row>
    <row r="22" spans="1:2" x14ac:dyDescent="0.2">
      <c r="A22" t="s">
        <v>1737</v>
      </c>
      <c r="B22" s="295" t="b">
        <v>1</v>
      </c>
    </row>
    <row r="23" spans="1:2" x14ac:dyDescent="0.2">
      <c r="A23" t="s">
        <v>3963</v>
      </c>
      <c r="B23" s="295" t="s">
        <v>3964</v>
      </c>
    </row>
    <row r="24" spans="1:2" x14ac:dyDescent="0.2">
      <c r="A24" t="s">
        <v>4165</v>
      </c>
      <c r="B24" s="295" t="s">
        <v>4166</v>
      </c>
    </row>
    <row r="25" spans="1:2" x14ac:dyDescent="0.2">
      <c r="A25" t="s">
        <v>4167</v>
      </c>
      <c r="B25" s="295" t="s">
        <v>4168</v>
      </c>
    </row>
    <row r="26" spans="1:2" x14ac:dyDescent="0.2">
      <c r="A26" t="s">
        <v>4213</v>
      </c>
      <c r="B26" s="295" t="s">
        <v>4166</v>
      </c>
    </row>
    <row r="27" spans="1:2" x14ac:dyDescent="0.2">
      <c r="A27" t="s">
        <v>4214</v>
      </c>
      <c r="B27" s="295" t="s">
        <v>4367</v>
      </c>
    </row>
    <row r="28" spans="1:2" x14ac:dyDescent="0.2">
      <c r="A28" t="s">
        <v>4369</v>
      </c>
      <c r="B28" s="295">
        <v>700</v>
      </c>
    </row>
    <row r="29" spans="1:2" x14ac:dyDescent="0.2">
      <c r="A29" t="s">
        <v>4372</v>
      </c>
      <c r="B29" s="295">
        <v>369.75</v>
      </c>
    </row>
    <row r="30" spans="1:2" x14ac:dyDescent="0.2">
      <c r="A30" t="s">
        <v>4373</v>
      </c>
      <c r="B30" s="295">
        <v>405</v>
      </c>
    </row>
    <row r="31" spans="1:2" x14ac:dyDescent="0.2">
      <c r="A31" t="s">
        <v>4374</v>
      </c>
      <c r="B31" s="295">
        <v>26</v>
      </c>
    </row>
    <row r="32" spans="1:2" x14ac:dyDescent="0.2">
      <c r="A32" t="s">
        <v>4375</v>
      </c>
      <c r="B32" s="295" t="s">
        <v>4378</v>
      </c>
    </row>
    <row r="33" spans="1:2" x14ac:dyDescent="0.2">
      <c r="A33" t="s">
        <v>4376</v>
      </c>
      <c r="B33" s="295">
        <v>169</v>
      </c>
    </row>
    <row r="34" spans="1:2" x14ac:dyDescent="0.2">
      <c r="A34" t="s">
        <v>4377</v>
      </c>
      <c r="B34" s="295">
        <v>-424.25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A7DC6-8CB0-4AD3-8166-73C5652F825B}">
  <sheetPr codeName="Sheet8"/>
  <dimension ref="A1:R17"/>
  <sheetViews>
    <sheetView workbookViewId="0">
      <selection activeCell="D6" sqref="D6"/>
    </sheetView>
  </sheetViews>
  <sheetFormatPr defaultColWidth="11.42578125" defaultRowHeight="12.75" x14ac:dyDescent="0.2"/>
  <sheetData>
    <row r="1" spans="1:18" ht="39" customHeight="1" x14ac:dyDescent="0.2"/>
    <row r="2" spans="1:18" ht="27.75" customHeight="1" x14ac:dyDescent="0.2"/>
    <row r="3" spans="1:18" ht="57.75" customHeight="1" x14ac:dyDescent="0.2">
      <c r="A3" t="s">
        <v>3087</v>
      </c>
      <c r="B3" t="s">
        <v>3088</v>
      </c>
      <c r="C3" t="s">
        <v>3089</v>
      </c>
      <c r="D3" t="s">
        <v>3090</v>
      </c>
      <c r="E3" t="s">
        <v>3091</v>
      </c>
      <c r="F3" t="s">
        <v>3092</v>
      </c>
      <c r="G3" t="s">
        <v>3093</v>
      </c>
      <c r="H3" t="s">
        <v>3094</v>
      </c>
      <c r="I3" t="s">
        <v>3095</v>
      </c>
      <c r="J3" t="s">
        <v>3096</v>
      </c>
      <c r="K3" t="s">
        <v>3097</v>
      </c>
      <c r="L3" t="s">
        <v>3098</v>
      </c>
      <c r="M3" t="s">
        <v>3099</v>
      </c>
      <c r="N3" t="s">
        <v>3100</v>
      </c>
      <c r="O3" t="s">
        <v>3101</v>
      </c>
      <c r="P3" t="s">
        <v>3102</v>
      </c>
      <c r="Q3" t="s">
        <v>3103</v>
      </c>
      <c r="R3" t="s">
        <v>3104</v>
      </c>
    </row>
    <row r="4" spans="1:18" ht="25.5" x14ac:dyDescent="0.2">
      <c r="A4" s="260" t="s">
        <v>3027</v>
      </c>
      <c r="B4" s="316" t="s">
        <v>3016</v>
      </c>
      <c r="C4" s="314" t="s">
        <v>3046</v>
      </c>
      <c r="D4" s="325" t="s">
        <v>3059</v>
      </c>
      <c r="E4" s="288" t="s">
        <v>3061</v>
      </c>
      <c r="G4" s="274" t="s">
        <v>3063</v>
      </c>
      <c r="H4" s="285" t="s">
        <v>3065</v>
      </c>
      <c r="I4" s="278" t="s">
        <v>3068</v>
      </c>
      <c r="J4" s="294" t="s">
        <v>3069</v>
      </c>
      <c r="K4" s="265" t="s">
        <v>3076</v>
      </c>
      <c r="L4" s="272" t="s">
        <v>3080</v>
      </c>
      <c r="M4" s="254" t="s">
        <v>3082</v>
      </c>
      <c r="O4" s="269" t="s">
        <v>3084</v>
      </c>
      <c r="P4" s="334" t="s">
        <v>3086</v>
      </c>
      <c r="R4" s="256" t="s">
        <v>3022</v>
      </c>
    </row>
    <row r="5" spans="1:18" ht="38.25" x14ac:dyDescent="0.2">
      <c r="A5" s="315" t="s">
        <v>3015</v>
      </c>
      <c r="B5" s="317" t="s">
        <v>3045</v>
      </c>
      <c r="C5" s="319" t="s">
        <v>3047</v>
      </c>
      <c r="D5" s="335" t="s">
        <v>3051</v>
      </c>
      <c r="E5" s="266" t="s">
        <v>3060</v>
      </c>
      <c r="G5" s="280" t="s">
        <v>3062</v>
      </c>
      <c r="I5" s="292" t="s">
        <v>3066</v>
      </c>
      <c r="J5" s="282" t="s">
        <v>3073</v>
      </c>
      <c r="K5" s="262" t="s">
        <v>3077</v>
      </c>
      <c r="L5" s="267" t="s">
        <v>3079</v>
      </c>
      <c r="M5" s="287" t="s">
        <v>3081</v>
      </c>
      <c r="O5" s="268" t="s">
        <v>3083</v>
      </c>
      <c r="R5" s="271" t="s">
        <v>3028</v>
      </c>
    </row>
    <row r="6" spans="1:18" ht="25.5" x14ac:dyDescent="0.2">
      <c r="A6" s="289" t="s">
        <v>3026</v>
      </c>
      <c r="B6" s="286" t="s">
        <v>3052</v>
      </c>
      <c r="C6" s="320" t="s">
        <v>3053</v>
      </c>
      <c r="D6" s="336" t="s">
        <v>3058</v>
      </c>
      <c r="G6" s="275" t="s">
        <v>3064</v>
      </c>
      <c r="I6" s="329" t="s">
        <v>3067</v>
      </c>
      <c r="J6" s="273" t="s">
        <v>3070</v>
      </c>
      <c r="K6" s="332" t="s">
        <v>3075</v>
      </c>
      <c r="L6" s="340" t="s">
        <v>3078</v>
      </c>
      <c r="O6" s="339" t="s">
        <v>3085</v>
      </c>
      <c r="R6" s="270" t="s">
        <v>3034</v>
      </c>
    </row>
    <row r="7" spans="1:18" ht="25.5" x14ac:dyDescent="0.2">
      <c r="A7" s="264" t="s">
        <v>3031</v>
      </c>
      <c r="B7" s="318" t="s">
        <v>3023</v>
      </c>
      <c r="C7" s="283" t="s">
        <v>3056</v>
      </c>
      <c r="J7" s="284" t="s">
        <v>3071</v>
      </c>
      <c r="R7" s="259" t="s">
        <v>3038</v>
      </c>
    </row>
    <row r="8" spans="1:18" ht="25.5" x14ac:dyDescent="0.2">
      <c r="A8" s="277" t="s">
        <v>3042</v>
      </c>
      <c r="B8" s="257" t="s">
        <v>3032</v>
      </c>
      <c r="C8" s="327" t="s">
        <v>3048</v>
      </c>
      <c r="J8" s="322" t="s">
        <v>3074</v>
      </c>
      <c r="R8" s="321" t="s">
        <v>3024</v>
      </c>
    </row>
    <row r="9" spans="1:18" ht="25.5" x14ac:dyDescent="0.2">
      <c r="A9" s="293" t="s">
        <v>3035</v>
      </c>
      <c r="B9" s="323" t="s">
        <v>3025</v>
      </c>
      <c r="C9" s="328" t="s">
        <v>3055</v>
      </c>
      <c r="J9" s="341" t="s">
        <v>3072</v>
      </c>
      <c r="R9" s="290" t="s">
        <v>3029</v>
      </c>
    </row>
    <row r="10" spans="1:18" ht="25.5" x14ac:dyDescent="0.2">
      <c r="A10" s="258" t="s">
        <v>3041</v>
      </c>
      <c r="B10" s="279" t="s">
        <v>3036</v>
      </c>
      <c r="C10" s="330" t="s">
        <v>3049</v>
      </c>
      <c r="R10" s="276" t="s">
        <v>3033</v>
      </c>
    </row>
    <row r="11" spans="1:18" ht="25.5" x14ac:dyDescent="0.2">
      <c r="A11" s="261" t="s">
        <v>3043</v>
      </c>
      <c r="B11" s="263" t="s">
        <v>3054</v>
      </c>
      <c r="C11" s="252" t="s">
        <v>3057</v>
      </c>
      <c r="R11" s="331" t="s">
        <v>3018</v>
      </c>
    </row>
    <row r="12" spans="1:18" ht="25.5" x14ac:dyDescent="0.2">
      <c r="A12" s="324" t="s">
        <v>3017</v>
      </c>
      <c r="B12" s="255" t="s">
        <v>3040</v>
      </c>
      <c r="C12" s="337" t="s">
        <v>3050</v>
      </c>
      <c r="R12" s="338" t="s">
        <v>3020</v>
      </c>
    </row>
    <row r="13" spans="1:18" ht="51" x14ac:dyDescent="0.2">
      <c r="A13" s="326" t="s">
        <v>3030</v>
      </c>
      <c r="B13" s="333" t="s">
        <v>3019</v>
      </c>
    </row>
    <row r="14" spans="1:18" ht="51" x14ac:dyDescent="0.2">
      <c r="A14" s="291" t="s">
        <v>3039</v>
      </c>
    </row>
    <row r="15" spans="1:18" ht="38.25" x14ac:dyDescent="0.2">
      <c r="A15" s="342" t="s">
        <v>3021</v>
      </c>
    </row>
    <row r="16" spans="1:18" ht="51" x14ac:dyDescent="0.2">
      <c r="A16" s="281" t="s">
        <v>3037</v>
      </c>
    </row>
    <row r="17" spans="1:1" ht="25.5" x14ac:dyDescent="0.2">
      <c r="A17" s="253" t="s">
        <v>3044</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00995-637E-4CE3-AB1D-B42747341DBD}">
  <sheetPr codeName="Sheet7"/>
  <dimension ref="A1:D43"/>
  <sheetViews>
    <sheetView topLeftCell="A106" workbookViewId="0">
      <selection activeCell="G131" sqref="G131"/>
    </sheetView>
  </sheetViews>
  <sheetFormatPr defaultRowHeight="12.75" x14ac:dyDescent="0.2"/>
  <cols>
    <col min="1" max="1" width="15.140625" customWidth="1"/>
    <col min="2" max="2" width="18" style="20" customWidth="1"/>
    <col min="3" max="3" width="88.7109375" customWidth="1"/>
    <col min="4" max="4" width="14.42578125" style="21" bestFit="1" customWidth="1"/>
  </cols>
  <sheetData>
    <row r="1" spans="1:4" x14ac:dyDescent="0.2">
      <c r="A1" t="s">
        <v>532</v>
      </c>
      <c r="B1" s="20" t="s">
        <v>533</v>
      </c>
      <c r="C1" t="s">
        <v>534</v>
      </c>
      <c r="D1" s="21" t="s">
        <v>535</v>
      </c>
    </row>
    <row r="2" spans="1:4" x14ac:dyDescent="0.2">
      <c r="A2" s="22">
        <v>45362</v>
      </c>
      <c r="B2" s="20">
        <v>0.47419733796296298</v>
      </c>
      <c r="C2" t="s">
        <v>4366</v>
      </c>
    </row>
    <row r="3" spans="1:4" x14ac:dyDescent="0.2">
      <c r="A3" s="22">
        <v>45362</v>
      </c>
      <c r="B3" s="20">
        <v>0.47419733796296298</v>
      </c>
      <c r="C3" t="s">
        <v>4139</v>
      </c>
    </row>
    <row r="4" spans="1:4" x14ac:dyDescent="0.2">
      <c r="A4" s="22">
        <v>45362</v>
      </c>
      <c r="B4" s="20">
        <v>0.47419806712962964</v>
      </c>
      <c r="C4" t="s">
        <v>4152</v>
      </c>
    </row>
    <row r="5" spans="1:4" x14ac:dyDescent="0.2">
      <c r="A5" s="22">
        <v>45362</v>
      </c>
      <c r="B5" s="20">
        <v>0.47419806712962964</v>
      </c>
      <c r="C5" t="s">
        <v>4368</v>
      </c>
    </row>
    <row r="6" spans="1:4" x14ac:dyDescent="0.2">
      <c r="A6" s="22">
        <v>45362</v>
      </c>
      <c r="B6" s="20">
        <v>0.47419815972222218</v>
      </c>
      <c r="C6" t="s">
        <v>4153</v>
      </c>
    </row>
    <row r="7" spans="1:4" x14ac:dyDescent="0.2">
      <c r="A7" s="22">
        <v>45362</v>
      </c>
      <c r="B7" s="20">
        <v>0.47419815972222218</v>
      </c>
      <c r="C7" t="s">
        <v>4154</v>
      </c>
    </row>
    <row r="8" spans="1:4" x14ac:dyDescent="0.2">
      <c r="A8" s="22">
        <v>45362</v>
      </c>
      <c r="B8" s="20">
        <v>0.47419843750000001</v>
      </c>
      <c r="C8" t="s">
        <v>4140</v>
      </c>
    </row>
    <row r="9" spans="1:4" x14ac:dyDescent="0.2">
      <c r="A9" s="22">
        <v>45362</v>
      </c>
      <c r="B9" s="20">
        <v>0.47419843750000001</v>
      </c>
      <c r="C9" t="s">
        <v>4141</v>
      </c>
    </row>
    <row r="10" spans="1:4" x14ac:dyDescent="0.2">
      <c r="A10" s="22">
        <v>45362</v>
      </c>
      <c r="B10" s="20">
        <v>0.47419843750000001</v>
      </c>
      <c r="C10" t="s">
        <v>4142</v>
      </c>
    </row>
    <row r="11" spans="1:4" x14ac:dyDescent="0.2">
      <c r="A11" s="22">
        <v>45362</v>
      </c>
      <c r="B11" s="20">
        <v>0.47419843750000001</v>
      </c>
      <c r="C11" t="s">
        <v>4143</v>
      </c>
    </row>
    <row r="12" spans="1:4" x14ac:dyDescent="0.2">
      <c r="A12" s="22">
        <v>45362</v>
      </c>
      <c r="B12" s="20">
        <v>0.47419861111111111</v>
      </c>
      <c r="C12" t="s">
        <v>4144</v>
      </c>
    </row>
    <row r="13" spans="1:4" x14ac:dyDescent="0.2">
      <c r="A13" s="22">
        <v>45362</v>
      </c>
      <c r="B13" s="20">
        <v>0.47419861111111111</v>
      </c>
      <c r="C13" t="s">
        <v>4145</v>
      </c>
    </row>
    <row r="14" spans="1:4" x14ac:dyDescent="0.2">
      <c r="A14" s="22">
        <v>45362</v>
      </c>
      <c r="B14" s="20">
        <v>0.47419861111111111</v>
      </c>
      <c r="C14" t="s">
        <v>4146</v>
      </c>
    </row>
    <row r="15" spans="1:4" x14ac:dyDescent="0.2">
      <c r="A15" s="22">
        <v>45362</v>
      </c>
      <c r="B15" s="20">
        <v>0.47420024305555553</v>
      </c>
      <c r="C15" t="s">
        <v>4147</v>
      </c>
    </row>
    <row r="16" spans="1:4" x14ac:dyDescent="0.2">
      <c r="A16" s="22">
        <v>45362</v>
      </c>
      <c r="B16" s="20">
        <v>0.47420024305555553</v>
      </c>
      <c r="C16" t="s">
        <v>4370</v>
      </c>
    </row>
    <row r="17" spans="1:3" x14ac:dyDescent="0.2">
      <c r="A17" s="22">
        <v>45362</v>
      </c>
      <c r="B17" s="20">
        <v>0.47420134259259256</v>
      </c>
      <c r="C17" t="s">
        <v>4148</v>
      </c>
    </row>
    <row r="18" spans="1:3" x14ac:dyDescent="0.2">
      <c r="A18" s="22">
        <v>45362</v>
      </c>
      <c r="B18" s="20">
        <v>0.47420163194444448</v>
      </c>
      <c r="C18" t="s">
        <v>4149</v>
      </c>
    </row>
    <row r="19" spans="1:3" x14ac:dyDescent="0.2">
      <c r="A19" s="22">
        <v>45362</v>
      </c>
      <c r="B19" s="20">
        <v>0.47420163194444448</v>
      </c>
      <c r="C19" t="s">
        <v>4150</v>
      </c>
    </row>
    <row r="20" spans="1:3" x14ac:dyDescent="0.2">
      <c r="A20" s="22">
        <v>45362</v>
      </c>
      <c r="B20" s="20">
        <v>0.47420163194444448</v>
      </c>
      <c r="C20" t="s">
        <v>4151</v>
      </c>
    </row>
    <row r="21" spans="1:3" ht="25.5" x14ac:dyDescent="0.2">
      <c r="A21" s="22">
        <v>45362</v>
      </c>
      <c r="B21" s="20">
        <v>0.47420416666666665</v>
      </c>
      <c r="C21" s="23" t="s">
        <v>4371</v>
      </c>
    </row>
    <row r="22" spans="1:3" x14ac:dyDescent="0.2">
      <c r="A22" s="22">
        <v>45362</v>
      </c>
      <c r="B22" s="20">
        <v>0.47420437500000001</v>
      </c>
      <c r="C22" t="s">
        <v>4155</v>
      </c>
    </row>
    <row r="23" spans="1:3" x14ac:dyDescent="0.2">
      <c r="A23" s="22">
        <v>45362</v>
      </c>
      <c r="B23" s="20">
        <v>0.47420458333333332</v>
      </c>
      <c r="C23" t="s">
        <v>4156</v>
      </c>
    </row>
    <row r="24" spans="1:3" x14ac:dyDescent="0.2">
      <c r="A24" s="22">
        <v>45362</v>
      </c>
      <c r="B24" s="20">
        <v>0.47420496527777778</v>
      </c>
      <c r="C24" t="s">
        <v>4157</v>
      </c>
    </row>
    <row r="25" spans="1:3" x14ac:dyDescent="0.2">
      <c r="A25" s="22">
        <v>45362</v>
      </c>
      <c r="B25" s="20">
        <v>0.47420513888888888</v>
      </c>
      <c r="C25" t="s">
        <v>4155</v>
      </c>
    </row>
    <row r="26" spans="1:3" x14ac:dyDescent="0.2">
      <c r="A26" s="22">
        <v>45362</v>
      </c>
      <c r="B26" s="20">
        <v>0.47420532407407401</v>
      </c>
      <c r="C26" t="s">
        <v>4156</v>
      </c>
    </row>
    <row r="27" spans="1:3" x14ac:dyDescent="0.2">
      <c r="A27" s="22">
        <v>45362</v>
      </c>
      <c r="B27" s="20">
        <v>0.47420568287037035</v>
      </c>
      <c r="C27" t="s">
        <v>4432</v>
      </c>
    </row>
    <row r="28" spans="1:3" x14ac:dyDescent="0.2">
      <c r="A28" s="22">
        <v>45362</v>
      </c>
      <c r="B28" s="20">
        <v>0.47420568287037035</v>
      </c>
      <c r="C28" t="s">
        <v>4433</v>
      </c>
    </row>
    <row r="29" spans="1:3" x14ac:dyDescent="0.2">
      <c r="A29" s="22">
        <v>45362</v>
      </c>
      <c r="B29" s="20">
        <v>0.47420570601851852</v>
      </c>
      <c r="C29" t="s">
        <v>4158</v>
      </c>
    </row>
    <row r="30" spans="1:3" x14ac:dyDescent="0.2">
      <c r="A30" s="22">
        <v>45362</v>
      </c>
      <c r="B30" s="20">
        <v>0.47420572916666665</v>
      </c>
      <c r="C30" t="s">
        <v>4159</v>
      </c>
    </row>
    <row r="31" spans="1:3" x14ac:dyDescent="0.2">
      <c r="A31" s="22">
        <v>45362</v>
      </c>
      <c r="B31" s="20">
        <v>0.47420574074074068</v>
      </c>
      <c r="C31" t="s">
        <v>4160</v>
      </c>
    </row>
    <row r="32" spans="1:3" x14ac:dyDescent="0.2">
      <c r="A32" s="22">
        <v>45362</v>
      </c>
      <c r="B32" s="20">
        <v>0.47420575231481482</v>
      </c>
      <c r="C32" t="s">
        <v>4161</v>
      </c>
    </row>
    <row r="33" spans="1:3" x14ac:dyDescent="0.2">
      <c r="A33" s="22">
        <v>45362</v>
      </c>
      <c r="B33" s="20">
        <v>0.47420576388888885</v>
      </c>
      <c r="C33" t="s">
        <v>4162</v>
      </c>
    </row>
    <row r="34" spans="1:3" x14ac:dyDescent="0.2">
      <c r="A34" s="22">
        <v>45362</v>
      </c>
      <c r="B34" s="20">
        <v>0.47420578703703703</v>
      </c>
      <c r="C34" t="s">
        <v>4163</v>
      </c>
    </row>
    <row r="35" spans="1:3" x14ac:dyDescent="0.2">
      <c r="A35" s="22">
        <v>45362</v>
      </c>
      <c r="B35" s="20">
        <v>0.47420578703703703</v>
      </c>
      <c r="C35" t="s">
        <v>4144</v>
      </c>
    </row>
    <row r="36" spans="1:3" x14ac:dyDescent="0.2">
      <c r="A36" s="22">
        <v>45362</v>
      </c>
      <c r="B36" s="20">
        <v>0.47420579861111112</v>
      </c>
      <c r="C36" t="s">
        <v>4164</v>
      </c>
    </row>
    <row r="37" spans="1:3" x14ac:dyDescent="0.2">
      <c r="A37" s="22">
        <v>45362</v>
      </c>
      <c r="B37" s="20">
        <v>0.47424327546296297</v>
      </c>
      <c r="C37" t="s">
        <v>4434</v>
      </c>
    </row>
    <row r="38" spans="1:3" x14ac:dyDescent="0.2">
      <c r="A38" s="22">
        <v>45362</v>
      </c>
      <c r="B38" s="20">
        <v>0.47425600694444442</v>
      </c>
      <c r="C38" t="s">
        <v>4434</v>
      </c>
    </row>
    <row r="39" spans="1:3" x14ac:dyDescent="0.2">
      <c r="A39" s="22">
        <v>45362</v>
      </c>
      <c r="B39" s="20">
        <v>0.47425600694444442</v>
      </c>
      <c r="C39" t="s">
        <v>4435</v>
      </c>
    </row>
    <row r="40" spans="1:3" x14ac:dyDescent="0.2">
      <c r="A40" s="22">
        <v>45362</v>
      </c>
      <c r="B40" s="20">
        <v>0.47431541666666666</v>
      </c>
      <c r="C40" t="s">
        <v>4431</v>
      </c>
    </row>
    <row r="41" spans="1:3" x14ac:dyDescent="0.2">
      <c r="A41" s="22">
        <v>45362</v>
      </c>
      <c r="B41" s="20">
        <v>0.48274311342592591</v>
      </c>
      <c r="C41" t="s">
        <v>4436</v>
      </c>
    </row>
    <row r="42" spans="1:3" x14ac:dyDescent="0.2">
      <c r="A42" s="22">
        <v>45362</v>
      </c>
      <c r="B42" s="20">
        <v>0.48274311342592591</v>
      </c>
      <c r="C42" t="s">
        <v>4437</v>
      </c>
    </row>
    <row r="43" spans="1:3" x14ac:dyDescent="0.2">
      <c r="B43" s="20" t="s">
        <v>520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AF8FC-E9A6-4F2D-BFA8-AEA1D4097387}">
  <sheetPr codeName="Sheet5"/>
  <dimension ref="A1:K703"/>
  <sheetViews>
    <sheetView workbookViewId="0">
      <selection activeCell="A417" sqref="A417"/>
    </sheetView>
  </sheetViews>
  <sheetFormatPr defaultColWidth="9.140625" defaultRowHeight="12.75" x14ac:dyDescent="0.2"/>
  <cols>
    <col min="1" max="1" width="25.7109375" style="6" customWidth="1"/>
    <col min="2" max="2" width="50.7109375" style="6" customWidth="1"/>
    <col min="3" max="3" width="28.7109375" style="6" customWidth="1"/>
    <col min="4" max="4" width="30.7109375" style="6" customWidth="1"/>
    <col min="5" max="5" width="7.7109375" style="6" customWidth="1"/>
    <col min="6" max="7" width="28.7109375" style="6" customWidth="1"/>
    <col min="8" max="8" width="20.7109375" style="6" customWidth="1"/>
    <col min="9" max="9" width="4.7109375" style="6" customWidth="1"/>
    <col min="10" max="10" width="5.7109375" style="6" customWidth="1"/>
    <col min="11" max="16384" width="9.140625" style="6"/>
  </cols>
  <sheetData>
    <row r="1" spans="1:11" ht="38.25" x14ac:dyDescent="0.2">
      <c r="A1" s="15" t="s">
        <v>541</v>
      </c>
      <c r="B1" s="6" t="s">
        <v>547</v>
      </c>
      <c r="C1" s="6" t="s">
        <v>544</v>
      </c>
      <c r="D1" s="6" t="s">
        <v>1947</v>
      </c>
      <c r="E1" s="6" t="s">
        <v>542</v>
      </c>
      <c r="F1" s="6" t="s">
        <v>543</v>
      </c>
      <c r="G1" s="6" t="s">
        <v>1204</v>
      </c>
      <c r="H1" s="6" t="s">
        <v>545</v>
      </c>
      <c r="I1" s="6" t="s">
        <v>546</v>
      </c>
      <c r="J1" s="6" t="s">
        <v>548</v>
      </c>
      <c r="K1" s="6" t="s">
        <v>549</v>
      </c>
    </row>
    <row r="2" spans="1:11" ht="25.5" x14ac:dyDescent="0.2">
      <c r="A2" s="12" t="s">
        <v>776</v>
      </c>
      <c r="B2" s="6" t="s">
        <v>2902</v>
      </c>
      <c r="C2" s="6" t="s">
        <v>2901</v>
      </c>
      <c r="D2" s="6" t="s">
        <v>1999</v>
      </c>
      <c r="E2" s="6" t="s">
        <v>646</v>
      </c>
      <c r="F2" s="6" t="s">
        <v>777</v>
      </c>
      <c r="G2" s="6" t="s">
        <v>552</v>
      </c>
      <c r="H2" s="6" t="s">
        <v>2000</v>
      </c>
      <c r="I2" s="6">
        <v>1</v>
      </c>
      <c r="J2" s="6">
        <v>17</v>
      </c>
      <c r="K2" s="6">
        <v>0</v>
      </c>
    </row>
    <row r="3" spans="1:11" ht="25.5" x14ac:dyDescent="0.2">
      <c r="A3" s="11" t="s">
        <v>599</v>
      </c>
      <c r="B3" s="6" t="s">
        <v>829</v>
      </c>
      <c r="C3" s="6" t="s">
        <v>4319</v>
      </c>
      <c r="D3" s="6" t="s">
        <v>2456</v>
      </c>
      <c r="E3" s="6" t="s">
        <v>646</v>
      </c>
      <c r="F3" s="6" t="s">
        <v>587</v>
      </c>
      <c r="G3" s="6" t="s">
        <v>552</v>
      </c>
      <c r="H3" s="6" t="s">
        <v>785</v>
      </c>
      <c r="I3" s="6">
        <v>1</v>
      </c>
      <c r="J3" s="6">
        <v>6</v>
      </c>
      <c r="K3" s="6">
        <v>0</v>
      </c>
    </row>
    <row r="4" spans="1:11" x14ac:dyDescent="0.2">
      <c r="A4" s="7" t="s">
        <v>680</v>
      </c>
      <c r="B4" s="6" t="s">
        <v>830</v>
      </c>
      <c r="C4" s="6" t="s">
        <v>1487</v>
      </c>
      <c r="D4" s="6" t="s">
        <v>2328</v>
      </c>
      <c r="E4" s="6" t="s">
        <v>646</v>
      </c>
      <c r="F4" s="6" t="s">
        <v>550</v>
      </c>
      <c r="G4" s="6" t="s">
        <v>552</v>
      </c>
      <c r="H4" s="6" t="s">
        <v>2332</v>
      </c>
      <c r="I4" s="6">
        <v>1</v>
      </c>
      <c r="J4" s="6">
        <v>15</v>
      </c>
      <c r="K4" s="6">
        <v>0</v>
      </c>
    </row>
    <row r="5" spans="1:11" ht="140.25" x14ac:dyDescent="0.2">
      <c r="A5" s="8" t="s">
        <v>3114</v>
      </c>
      <c r="B5" s="6" t="s">
        <v>3147</v>
      </c>
      <c r="C5" s="6" t="s">
        <v>3110</v>
      </c>
      <c r="D5" s="6" t="s">
        <v>3115</v>
      </c>
      <c r="E5" s="6" t="s">
        <v>646</v>
      </c>
      <c r="F5" s="6" t="s">
        <v>550</v>
      </c>
      <c r="G5" s="6" t="s">
        <v>552</v>
      </c>
      <c r="H5" s="6" t="s">
        <v>3149</v>
      </c>
      <c r="I5" s="6">
        <v>1</v>
      </c>
      <c r="J5" s="6">
        <v>32</v>
      </c>
      <c r="K5" s="6">
        <v>0</v>
      </c>
    </row>
    <row r="6" spans="1:11" x14ac:dyDescent="0.2">
      <c r="A6" s="12" t="s">
        <v>2925</v>
      </c>
      <c r="B6" s="6" t="s">
        <v>2960</v>
      </c>
      <c r="C6" s="6" t="s">
        <v>2982</v>
      </c>
      <c r="D6" s="6" t="s">
        <v>2926</v>
      </c>
      <c r="E6" s="6" t="s">
        <v>646</v>
      </c>
      <c r="F6" s="6" t="s">
        <v>2916</v>
      </c>
      <c r="G6" s="6" t="s">
        <v>552</v>
      </c>
      <c r="H6" s="6" t="s">
        <v>785</v>
      </c>
      <c r="I6" s="6">
        <v>1</v>
      </c>
      <c r="J6" s="6">
        <v>24</v>
      </c>
      <c r="K6" s="6">
        <v>0</v>
      </c>
    </row>
    <row r="7" spans="1:11" ht="51" x14ac:dyDescent="0.2">
      <c r="A7" s="11" t="s">
        <v>1233</v>
      </c>
      <c r="B7" s="6" t="s">
        <v>1388</v>
      </c>
      <c r="C7" s="6" t="s">
        <v>1028</v>
      </c>
      <c r="D7" s="6" t="s">
        <v>2034</v>
      </c>
      <c r="E7" s="6" t="s">
        <v>553</v>
      </c>
      <c r="F7" s="6" t="s">
        <v>550</v>
      </c>
      <c r="G7" s="6" t="s">
        <v>552</v>
      </c>
      <c r="H7" s="6" t="s">
        <v>2567</v>
      </c>
      <c r="I7" s="6">
        <v>1</v>
      </c>
      <c r="J7" s="6">
        <v>5</v>
      </c>
      <c r="K7" s="6">
        <v>0</v>
      </c>
    </row>
    <row r="8" spans="1:11" ht="38.25" x14ac:dyDescent="0.2">
      <c r="A8" s="11" t="s">
        <v>1234</v>
      </c>
      <c r="B8" s="6" t="s">
        <v>1607</v>
      </c>
      <c r="C8" s="6" t="s">
        <v>1028</v>
      </c>
      <c r="D8" s="6" t="s">
        <v>2035</v>
      </c>
      <c r="E8" s="6" t="s">
        <v>553</v>
      </c>
      <c r="F8" s="6" t="s">
        <v>550</v>
      </c>
      <c r="G8" s="6" t="s">
        <v>552</v>
      </c>
      <c r="H8" s="6" t="s">
        <v>2568</v>
      </c>
      <c r="I8" s="6">
        <v>1</v>
      </c>
      <c r="J8" s="6">
        <v>2</v>
      </c>
      <c r="K8" s="6">
        <v>0</v>
      </c>
    </row>
    <row r="9" spans="1:11" ht="38.25" x14ac:dyDescent="0.2">
      <c r="A9" s="6" t="s">
        <v>1235</v>
      </c>
      <c r="B9" s="6" t="s">
        <v>1389</v>
      </c>
      <c r="C9" s="6" t="s">
        <v>1028</v>
      </c>
      <c r="D9" s="6" t="s">
        <v>2036</v>
      </c>
      <c r="E9" s="6" t="s">
        <v>553</v>
      </c>
      <c r="F9" s="6" t="s">
        <v>550</v>
      </c>
      <c r="G9" s="6" t="s">
        <v>552</v>
      </c>
      <c r="H9" s="6" t="s">
        <v>2568</v>
      </c>
      <c r="I9" s="6">
        <v>1</v>
      </c>
      <c r="J9" s="6">
        <v>2</v>
      </c>
      <c r="K9" s="6">
        <v>0</v>
      </c>
    </row>
    <row r="10" spans="1:11" ht="51" x14ac:dyDescent="0.2">
      <c r="A10" s="11" t="s">
        <v>1236</v>
      </c>
      <c r="B10" s="6" t="s">
        <v>1608</v>
      </c>
      <c r="C10" s="6" t="s">
        <v>1028</v>
      </c>
      <c r="D10" s="6" t="s">
        <v>2037</v>
      </c>
      <c r="E10" s="6" t="s">
        <v>553</v>
      </c>
      <c r="F10" s="6" t="s">
        <v>550</v>
      </c>
      <c r="G10" s="6" t="s">
        <v>552</v>
      </c>
      <c r="H10" s="6" t="s">
        <v>2569</v>
      </c>
      <c r="I10" s="6">
        <v>1</v>
      </c>
      <c r="J10" s="6">
        <v>5</v>
      </c>
      <c r="K10" s="6">
        <v>0</v>
      </c>
    </row>
    <row r="11" spans="1:11" ht="38.25" x14ac:dyDescent="0.2">
      <c r="A11" s="8" t="s">
        <v>1237</v>
      </c>
      <c r="B11" s="6" t="s">
        <v>1390</v>
      </c>
      <c r="C11" s="6" t="s">
        <v>1028</v>
      </c>
      <c r="D11" s="6" t="s">
        <v>2038</v>
      </c>
      <c r="E11" s="6" t="s">
        <v>553</v>
      </c>
      <c r="F11" s="6" t="s">
        <v>550</v>
      </c>
      <c r="G11" s="6" t="s">
        <v>552</v>
      </c>
      <c r="H11" s="14" t="s">
        <v>2570</v>
      </c>
      <c r="I11" s="6">
        <v>1</v>
      </c>
      <c r="J11" s="6">
        <v>5</v>
      </c>
      <c r="K11" s="6">
        <v>0</v>
      </c>
    </row>
    <row r="12" spans="1:11" ht="38.25" x14ac:dyDescent="0.2">
      <c r="A12" s="12" t="s">
        <v>1238</v>
      </c>
      <c r="B12" s="6" t="s">
        <v>1391</v>
      </c>
      <c r="C12" s="6" t="s">
        <v>1028</v>
      </c>
      <c r="D12" s="6" t="s">
        <v>2039</v>
      </c>
      <c r="E12" s="6" t="s">
        <v>553</v>
      </c>
      <c r="F12" s="6" t="s">
        <v>550</v>
      </c>
      <c r="G12" s="6" t="s">
        <v>552</v>
      </c>
      <c r="H12" s="6" t="s">
        <v>2572</v>
      </c>
      <c r="I12" s="6">
        <v>1</v>
      </c>
      <c r="J12" s="6">
        <v>3</v>
      </c>
      <c r="K12" s="6">
        <v>0</v>
      </c>
    </row>
    <row r="13" spans="1:11" ht="38.25" x14ac:dyDescent="0.2">
      <c r="A13" s="6" t="s">
        <v>1239</v>
      </c>
      <c r="B13" s="6" t="s">
        <v>1609</v>
      </c>
      <c r="C13" s="6" t="s">
        <v>1028</v>
      </c>
      <c r="D13" s="6" t="s">
        <v>2040</v>
      </c>
      <c r="E13" s="6" t="s">
        <v>553</v>
      </c>
      <c r="F13" s="6" t="s">
        <v>550</v>
      </c>
      <c r="G13" s="6" t="s">
        <v>552</v>
      </c>
      <c r="H13" s="6" t="s">
        <v>2573</v>
      </c>
      <c r="I13" s="6">
        <v>1</v>
      </c>
      <c r="J13" s="6">
        <v>2</v>
      </c>
      <c r="K13" s="6">
        <v>0</v>
      </c>
    </row>
    <row r="14" spans="1:11" ht="38.25" x14ac:dyDescent="0.2">
      <c r="A14" s="11" t="s">
        <v>1240</v>
      </c>
      <c r="B14" s="6" t="s">
        <v>1610</v>
      </c>
      <c r="C14" s="6" t="s">
        <v>1028</v>
      </c>
      <c r="D14" s="6" t="s">
        <v>2041</v>
      </c>
      <c r="E14" s="6" t="s">
        <v>553</v>
      </c>
      <c r="F14" s="6" t="s">
        <v>550</v>
      </c>
      <c r="G14" s="6" t="s">
        <v>552</v>
      </c>
      <c r="H14" s="6" t="s">
        <v>2574</v>
      </c>
      <c r="I14" s="6">
        <v>1</v>
      </c>
      <c r="J14" s="6">
        <v>2</v>
      </c>
      <c r="K14" s="6">
        <v>0</v>
      </c>
    </row>
    <row r="15" spans="1:11" ht="38.25" x14ac:dyDescent="0.2">
      <c r="A15" s="7" t="s">
        <v>1241</v>
      </c>
      <c r="B15" s="6" t="s">
        <v>1611</v>
      </c>
      <c r="C15" s="6" t="s">
        <v>1028</v>
      </c>
      <c r="D15" s="6" t="s">
        <v>2042</v>
      </c>
      <c r="E15" s="6" t="s">
        <v>553</v>
      </c>
      <c r="F15" s="6" t="s">
        <v>550</v>
      </c>
      <c r="G15" s="6" t="s">
        <v>552</v>
      </c>
      <c r="H15" s="6" t="s">
        <v>2575</v>
      </c>
      <c r="I15" s="6">
        <v>1</v>
      </c>
      <c r="J15" s="6">
        <v>6</v>
      </c>
      <c r="K15" s="6">
        <v>0</v>
      </c>
    </row>
    <row r="16" spans="1:11" ht="25.5" x14ac:dyDescent="0.2">
      <c r="A16" s="11" t="s">
        <v>1276</v>
      </c>
      <c r="B16" s="6" t="s">
        <v>1397</v>
      </c>
      <c r="C16" s="6" t="s">
        <v>1028</v>
      </c>
      <c r="D16" s="6" t="s">
        <v>2121</v>
      </c>
      <c r="E16" s="6" t="s">
        <v>553</v>
      </c>
      <c r="F16" s="6" t="s">
        <v>550</v>
      </c>
      <c r="G16" s="6" t="s">
        <v>552</v>
      </c>
      <c r="H16" s="6" t="s">
        <v>2630</v>
      </c>
      <c r="I16" s="6">
        <v>1</v>
      </c>
      <c r="J16" s="6">
        <v>2</v>
      </c>
      <c r="K16" s="6">
        <v>0</v>
      </c>
    </row>
    <row r="17" spans="1:11" ht="38.25" x14ac:dyDescent="0.2">
      <c r="A17" s="6" t="s">
        <v>4395</v>
      </c>
      <c r="B17" s="6" t="s">
        <v>4439</v>
      </c>
      <c r="C17" s="6" t="s">
        <v>1028</v>
      </c>
      <c r="D17" s="6" t="s">
        <v>4396</v>
      </c>
      <c r="E17" s="6" t="s">
        <v>553</v>
      </c>
      <c r="F17" s="6" t="s">
        <v>550</v>
      </c>
      <c r="G17" s="6" t="s">
        <v>552</v>
      </c>
      <c r="H17" s="6" t="s">
        <v>4440</v>
      </c>
      <c r="I17" s="6">
        <v>1</v>
      </c>
      <c r="J17" s="6">
        <v>2</v>
      </c>
      <c r="K17" s="6">
        <v>0</v>
      </c>
    </row>
    <row r="18" spans="1:11" ht="51" x14ac:dyDescent="0.2">
      <c r="A18" s="11" t="s">
        <v>1277</v>
      </c>
      <c r="B18" s="6" t="s">
        <v>1398</v>
      </c>
      <c r="C18" s="6" t="s">
        <v>1028</v>
      </c>
      <c r="D18" s="6" t="s">
        <v>2122</v>
      </c>
      <c r="E18" s="6" t="s">
        <v>553</v>
      </c>
      <c r="F18" s="6" t="s">
        <v>550</v>
      </c>
      <c r="G18" s="6" t="s">
        <v>552</v>
      </c>
      <c r="H18" s="14" t="s">
        <v>2631</v>
      </c>
      <c r="I18" s="6">
        <v>1</v>
      </c>
      <c r="J18" s="6">
        <v>5</v>
      </c>
      <c r="K18" s="6">
        <v>0</v>
      </c>
    </row>
    <row r="19" spans="1:11" ht="38.25" x14ac:dyDescent="0.2">
      <c r="A19" s="12" t="s">
        <v>1493</v>
      </c>
      <c r="B19" s="6" t="s">
        <v>1612</v>
      </c>
      <c r="C19" s="6" t="s">
        <v>1028</v>
      </c>
      <c r="D19" s="6" t="s">
        <v>2043</v>
      </c>
      <c r="E19" s="6" t="s">
        <v>553</v>
      </c>
      <c r="F19" s="6" t="s">
        <v>550</v>
      </c>
      <c r="G19" s="6" t="s">
        <v>552</v>
      </c>
      <c r="H19" s="6" t="s">
        <v>2576</v>
      </c>
      <c r="I19" s="6">
        <v>1</v>
      </c>
      <c r="J19" s="6">
        <v>2</v>
      </c>
      <c r="K19" s="6">
        <v>0</v>
      </c>
    </row>
    <row r="20" spans="1:11" ht="25.5" x14ac:dyDescent="0.2">
      <c r="A20" s="12" t="s">
        <v>1242</v>
      </c>
      <c r="B20" s="6" t="s">
        <v>1392</v>
      </c>
      <c r="C20" s="6" t="s">
        <v>1028</v>
      </c>
      <c r="D20" s="6" t="s">
        <v>2044</v>
      </c>
      <c r="E20" s="6" t="s">
        <v>553</v>
      </c>
      <c r="F20" s="6" t="s">
        <v>550</v>
      </c>
      <c r="G20" s="6" t="s">
        <v>552</v>
      </c>
      <c r="H20" s="6" t="s">
        <v>2577</v>
      </c>
      <c r="I20" s="6">
        <v>1</v>
      </c>
      <c r="J20" s="6">
        <v>2</v>
      </c>
      <c r="K20" s="6">
        <v>0</v>
      </c>
    </row>
    <row r="21" spans="1:11" ht="25.5" x14ac:dyDescent="0.2">
      <c r="A21" s="12" t="s">
        <v>1243</v>
      </c>
      <c r="B21" s="6" t="s">
        <v>1613</v>
      </c>
      <c r="C21" s="6" t="s">
        <v>1028</v>
      </c>
      <c r="D21" s="6" t="s">
        <v>2045</v>
      </c>
      <c r="E21" s="6" t="s">
        <v>553</v>
      </c>
      <c r="F21" s="6" t="s">
        <v>550</v>
      </c>
      <c r="G21" s="6" t="s">
        <v>552</v>
      </c>
      <c r="H21" s="6" t="s">
        <v>2578</v>
      </c>
      <c r="I21" s="6">
        <v>1</v>
      </c>
      <c r="J21" s="6">
        <v>2</v>
      </c>
      <c r="K21" s="6">
        <v>0</v>
      </c>
    </row>
    <row r="22" spans="1:11" ht="38.25" x14ac:dyDescent="0.2">
      <c r="A22" s="6" t="s">
        <v>1494</v>
      </c>
      <c r="B22" s="6" t="s">
        <v>1614</v>
      </c>
      <c r="C22" s="6" t="s">
        <v>1028</v>
      </c>
      <c r="D22" s="6" t="s">
        <v>2046</v>
      </c>
      <c r="E22" s="6" t="s">
        <v>553</v>
      </c>
      <c r="F22" s="6" t="s">
        <v>550</v>
      </c>
      <c r="G22" s="6" t="s">
        <v>552</v>
      </c>
      <c r="H22" s="6" t="s">
        <v>2579</v>
      </c>
      <c r="I22" s="6">
        <v>1</v>
      </c>
      <c r="J22" s="6">
        <v>2</v>
      </c>
      <c r="K22" s="6">
        <v>0</v>
      </c>
    </row>
    <row r="23" spans="1:11" ht="38.25" x14ac:dyDescent="0.2">
      <c r="A23" s="11" t="s">
        <v>1495</v>
      </c>
      <c r="B23" s="6" t="s">
        <v>1615</v>
      </c>
      <c r="C23" s="6" t="s">
        <v>1028</v>
      </c>
      <c r="D23" s="6" t="s">
        <v>2047</v>
      </c>
      <c r="E23" s="6" t="s">
        <v>553</v>
      </c>
      <c r="F23" s="6" t="s">
        <v>550</v>
      </c>
      <c r="G23" s="6" t="s">
        <v>552</v>
      </c>
      <c r="H23" s="6" t="s">
        <v>2579</v>
      </c>
      <c r="I23" s="6">
        <v>1</v>
      </c>
      <c r="J23" s="6">
        <v>2</v>
      </c>
      <c r="K23" s="6">
        <v>0</v>
      </c>
    </row>
    <row r="24" spans="1:11" ht="38.25" x14ac:dyDescent="0.2">
      <c r="A24" s="11" t="s">
        <v>1496</v>
      </c>
      <c r="B24" s="6" t="s">
        <v>1614</v>
      </c>
      <c r="C24" s="6" t="s">
        <v>1028</v>
      </c>
      <c r="D24" s="6" t="s">
        <v>2048</v>
      </c>
      <c r="E24" s="6" t="s">
        <v>553</v>
      </c>
      <c r="F24" s="6" t="s">
        <v>550</v>
      </c>
      <c r="G24" s="6" t="s">
        <v>552</v>
      </c>
      <c r="H24" s="6" t="s">
        <v>2579</v>
      </c>
      <c r="I24" s="6">
        <v>1</v>
      </c>
      <c r="J24" s="6">
        <v>2</v>
      </c>
      <c r="K24" s="6">
        <v>0</v>
      </c>
    </row>
    <row r="25" spans="1:11" ht="38.25" x14ac:dyDescent="0.2">
      <c r="A25" s="6" t="s">
        <v>1497</v>
      </c>
      <c r="B25" s="6" t="s">
        <v>1615</v>
      </c>
      <c r="C25" s="6" t="s">
        <v>1028</v>
      </c>
      <c r="D25" s="6" t="s">
        <v>2049</v>
      </c>
      <c r="E25" s="6" t="s">
        <v>553</v>
      </c>
      <c r="F25" s="6" t="s">
        <v>550</v>
      </c>
      <c r="G25" s="6" t="s">
        <v>552</v>
      </c>
      <c r="H25" s="6" t="s">
        <v>2579</v>
      </c>
      <c r="I25" s="6">
        <v>1</v>
      </c>
      <c r="J25" s="6">
        <v>2</v>
      </c>
      <c r="K25" s="6">
        <v>0</v>
      </c>
    </row>
    <row r="26" spans="1:11" ht="38.25" x14ac:dyDescent="0.2">
      <c r="A26" s="12" t="s">
        <v>3970</v>
      </c>
      <c r="B26" s="6" t="s">
        <v>1614</v>
      </c>
      <c r="C26" s="6" t="s">
        <v>1028</v>
      </c>
      <c r="D26" s="6" t="s">
        <v>3971</v>
      </c>
      <c r="E26" s="6" t="s">
        <v>553</v>
      </c>
      <c r="F26" s="6" t="s">
        <v>550</v>
      </c>
      <c r="G26" s="6" t="s">
        <v>552</v>
      </c>
      <c r="H26" s="6" t="s">
        <v>2579</v>
      </c>
      <c r="I26" s="6">
        <v>1</v>
      </c>
      <c r="J26" s="6">
        <v>2</v>
      </c>
      <c r="K26" s="6">
        <v>0</v>
      </c>
    </row>
    <row r="27" spans="1:11" ht="38.25" x14ac:dyDescent="0.2">
      <c r="A27" s="11" t="s">
        <v>3972</v>
      </c>
      <c r="B27" s="6" t="s">
        <v>1615</v>
      </c>
      <c r="C27" s="6" t="s">
        <v>1028</v>
      </c>
      <c r="D27" s="6" t="s">
        <v>3973</v>
      </c>
      <c r="E27" s="6" t="s">
        <v>553</v>
      </c>
      <c r="F27" s="6" t="s">
        <v>550</v>
      </c>
      <c r="G27" s="6" t="s">
        <v>552</v>
      </c>
      <c r="H27" s="6" t="s">
        <v>2579</v>
      </c>
      <c r="I27" s="6">
        <v>1</v>
      </c>
      <c r="J27" s="6">
        <v>2</v>
      </c>
      <c r="K27" s="6">
        <v>0</v>
      </c>
    </row>
    <row r="28" spans="1:11" ht="25.5" x14ac:dyDescent="0.2">
      <c r="A28" s="12" t="s">
        <v>1279</v>
      </c>
      <c r="B28" s="6" t="s">
        <v>1400</v>
      </c>
      <c r="C28" s="6" t="s">
        <v>1028</v>
      </c>
      <c r="D28" s="6" t="s">
        <v>2124</v>
      </c>
      <c r="E28" s="6" t="s">
        <v>553</v>
      </c>
      <c r="F28" s="6" t="s">
        <v>1255</v>
      </c>
      <c r="G28" s="6" t="s">
        <v>552</v>
      </c>
      <c r="H28" s="6" t="s">
        <v>2633</v>
      </c>
      <c r="I28" s="6">
        <v>1</v>
      </c>
      <c r="J28" s="6">
        <v>2</v>
      </c>
      <c r="K28" s="6">
        <v>0</v>
      </c>
    </row>
    <row r="29" spans="1:11" ht="38.25" x14ac:dyDescent="0.2">
      <c r="A29" s="11" t="s">
        <v>1244</v>
      </c>
      <c r="B29" s="6" t="s">
        <v>1616</v>
      </c>
      <c r="C29" s="6" t="s">
        <v>1028</v>
      </c>
      <c r="D29" s="6" t="s">
        <v>2050</v>
      </c>
      <c r="E29" s="6" t="s">
        <v>553</v>
      </c>
      <c r="F29" s="6" t="s">
        <v>550</v>
      </c>
      <c r="G29" s="6" t="s">
        <v>552</v>
      </c>
      <c r="H29" s="6" t="s">
        <v>2580</v>
      </c>
      <c r="I29" s="6">
        <v>1</v>
      </c>
      <c r="J29" s="6">
        <v>2</v>
      </c>
      <c r="K29" s="6">
        <v>0</v>
      </c>
    </row>
    <row r="30" spans="1:11" ht="38.25" x14ac:dyDescent="0.2">
      <c r="A30" s="11" t="s">
        <v>1245</v>
      </c>
      <c r="B30" s="6" t="s">
        <v>1393</v>
      </c>
      <c r="C30" s="6" t="s">
        <v>1028</v>
      </c>
      <c r="D30" s="6" t="s">
        <v>2051</v>
      </c>
      <c r="E30" s="6" t="s">
        <v>553</v>
      </c>
      <c r="F30" s="6" t="s">
        <v>550</v>
      </c>
      <c r="G30" s="6" t="s">
        <v>552</v>
      </c>
      <c r="H30" s="6" t="s">
        <v>2581</v>
      </c>
      <c r="I30" s="6">
        <v>1</v>
      </c>
      <c r="J30" s="6">
        <v>2</v>
      </c>
      <c r="K30" s="6">
        <v>0</v>
      </c>
    </row>
    <row r="31" spans="1:11" ht="25.5" x14ac:dyDescent="0.2">
      <c r="A31" s="12" t="s">
        <v>1280</v>
      </c>
      <c r="B31" s="6" t="s">
        <v>1401</v>
      </c>
      <c r="C31" s="6" t="s">
        <v>1028</v>
      </c>
      <c r="D31" s="6" t="s">
        <v>2125</v>
      </c>
      <c r="E31" s="6" t="s">
        <v>553</v>
      </c>
      <c r="F31" s="6" t="s">
        <v>1255</v>
      </c>
      <c r="G31" s="6" t="s">
        <v>552</v>
      </c>
      <c r="H31" s="6" t="s">
        <v>2634</v>
      </c>
      <c r="I31" s="6">
        <v>1</v>
      </c>
      <c r="J31" s="6">
        <v>2</v>
      </c>
      <c r="K31" s="6">
        <v>0</v>
      </c>
    </row>
    <row r="32" spans="1:11" ht="38.25" x14ac:dyDescent="0.2">
      <c r="A32" s="9" t="s">
        <v>1281</v>
      </c>
      <c r="B32" s="6" t="s">
        <v>1402</v>
      </c>
      <c r="C32" s="6" t="s">
        <v>1028</v>
      </c>
      <c r="D32" s="6" t="s">
        <v>2126</v>
      </c>
      <c r="E32" s="6" t="s">
        <v>553</v>
      </c>
      <c r="F32" s="6" t="s">
        <v>550</v>
      </c>
      <c r="G32" s="6" t="s">
        <v>552</v>
      </c>
      <c r="H32" s="6" t="s">
        <v>2635</v>
      </c>
      <c r="I32" s="6">
        <v>1</v>
      </c>
      <c r="J32" s="6">
        <v>2</v>
      </c>
      <c r="K32" s="6">
        <v>0</v>
      </c>
    </row>
    <row r="33" spans="1:11" ht="38.25" x14ac:dyDescent="0.2">
      <c r="A33" s="7" t="s">
        <v>1498</v>
      </c>
      <c r="B33" s="6" t="s">
        <v>1617</v>
      </c>
      <c r="C33" s="13" t="s">
        <v>1028</v>
      </c>
      <c r="D33" s="6" t="s">
        <v>2052</v>
      </c>
      <c r="E33" s="6" t="s">
        <v>553</v>
      </c>
      <c r="F33" s="6" t="s">
        <v>550</v>
      </c>
      <c r="G33" s="6" t="s">
        <v>552</v>
      </c>
      <c r="H33" s="6" t="s">
        <v>2582</v>
      </c>
      <c r="I33" s="6">
        <v>1</v>
      </c>
      <c r="J33" s="6">
        <v>2</v>
      </c>
      <c r="K33" s="6">
        <v>0</v>
      </c>
    </row>
    <row r="34" spans="1:11" ht="38.25" x14ac:dyDescent="0.2">
      <c r="A34" s="12" t="s">
        <v>1246</v>
      </c>
      <c r="B34" s="6" t="s">
        <v>1618</v>
      </c>
      <c r="C34" s="6" t="s">
        <v>1028</v>
      </c>
      <c r="D34" s="6" t="s">
        <v>2053</v>
      </c>
      <c r="E34" s="6" t="s">
        <v>553</v>
      </c>
      <c r="F34" s="6" t="s">
        <v>550</v>
      </c>
      <c r="G34" s="6" t="s">
        <v>552</v>
      </c>
      <c r="H34" s="6" t="s">
        <v>2575</v>
      </c>
      <c r="I34" s="6">
        <v>1</v>
      </c>
      <c r="J34" s="6">
        <v>5</v>
      </c>
      <c r="K34" s="6">
        <v>0</v>
      </c>
    </row>
    <row r="35" spans="1:11" ht="38.25" x14ac:dyDescent="0.2">
      <c r="A35" s="11" t="s">
        <v>1282</v>
      </c>
      <c r="B35" s="6" t="s">
        <v>1403</v>
      </c>
      <c r="C35" s="6" t="s">
        <v>1028</v>
      </c>
      <c r="D35" s="6" t="s">
        <v>2127</v>
      </c>
      <c r="E35" s="6" t="s">
        <v>553</v>
      </c>
      <c r="F35" s="6" t="s">
        <v>550</v>
      </c>
      <c r="G35" s="6" t="s">
        <v>552</v>
      </c>
      <c r="H35" s="6" t="s">
        <v>2636</v>
      </c>
      <c r="I35" s="6">
        <v>1</v>
      </c>
      <c r="J35" s="6">
        <v>3</v>
      </c>
      <c r="K35" s="6">
        <v>0</v>
      </c>
    </row>
    <row r="36" spans="1:11" x14ac:dyDescent="0.2">
      <c r="A36" s="12" t="s">
        <v>4044</v>
      </c>
      <c r="B36" s="6" t="s">
        <v>4194</v>
      </c>
      <c r="C36" s="6" t="s">
        <v>1028</v>
      </c>
      <c r="D36" s="6" t="s">
        <v>4045</v>
      </c>
      <c r="E36" s="6" t="s">
        <v>553</v>
      </c>
      <c r="F36" s="6" t="s">
        <v>550</v>
      </c>
      <c r="G36" s="6" t="s">
        <v>552</v>
      </c>
      <c r="H36" s="6" t="s">
        <v>4056</v>
      </c>
      <c r="I36" s="6">
        <v>1</v>
      </c>
      <c r="J36" s="6">
        <v>1</v>
      </c>
      <c r="K36" s="6">
        <v>0</v>
      </c>
    </row>
    <row r="37" spans="1:11" x14ac:dyDescent="0.2">
      <c r="A37" s="12" t="s">
        <v>1499</v>
      </c>
      <c r="B37" s="6" t="s">
        <v>1619</v>
      </c>
      <c r="C37" s="6" t="s">
        <v>1028</v>
      </c>
      <c r="D37" s="6" t="s">
        <v>2054</v>
      </c>
      <c r="E37" s="6" t="s">
        <v>553</v>
      </c>
      <c r="F37" s="6" t="s">
        <v>550</v>
      </c>
      <c r="G37" s="6" t="s">
        <v>552</v>
      </c>
      <c r="H37" s="6" t="s">
        <v>2217</v>
      </c>
      <c r="I37" s="6">
        <v>1</v>
      </c>
      <c r="J37" s="6">
        <v>1</v>
      </c>
      <c r="K37" s="6">
        <v>0</v>
      </c>
    </row>
    <row r="38" spans="1:11" ht="38.25" x14ac:dyDescent="0.2">
      <c r="A38" s="11" t="s">
        <v>1283</v>
      </c>
      <c r="B38" s="6" t="s">
        <v>1404</v>
      </c>
      <c r="C38" s="6" t="s">
        <v>1028</v>
      </c>
      <c r="D38" s="6" t="s">
        <v>2128</v>
      </c>
      <c r="E38" s="6" t="s">
        <v>553</v>
      </c>
      <c r="F38" s="6" t="s">
        <v>550</v>
      </c>
      <c r="G38" s="6" t="s">
        <v>552</v>
      </c>
      <c r="H38" s="6" t="s">
        <v>2637</v>
      </c>
      <c r="I38" s="6">
        <v>1</v>
      </c>
      <c r="J38" s="6">
        <v>3</v>
      </c>
      <c r="K38" s="6">
        <v>0</v>
      </c>
    </row>
    <row r="39" spans="1:11" ht="25.5" x14ac:dyDescent="0.2">
      <c r="A39" s="11" t="s">
        <v>1247</v>
      </c>
      <c r="B39" s="6" t="s">
        <v>1394</v>
      </c>
      <c r="C39" s="6" t="s">
        <v>1028</v>
      </c>
      <c r="D39" s="6" t="s">
        <v>2055</v>
      </c>
      <c r="E39" s="6" t="s">
        <v>553</v>
      </c>
      <c r="F39" s="6" t="s">
        <v>550</v>
      </c>
      <c r="G39" s="6" t="s">
        <v>552</v>
      </c>
      <c r="H39" s="6" t="s">
        <v>2583</v>
      </c>
      <c r="I39" s="6">
        <v>1</v>
      </c>
      <c r="J39" s="6">
        <v>2</v>
      </c>
      <c r="K39" s="6">
        <v>0</v>
      </c>
    </row>
    <row r="40" spans="1:11" ht="25.5" x14ac:dyDescent="0.2">
      <c r="A40" s="12" t="s">
        <v>1248</v>
      </c>
      <c r="B40" s="6" t="s">
        <v>1395</v>
      </c>
      <c r="C40" s="6" t="s">
        <v>1028</v>
      </c>
      <c r="D40" s="6" t="s">
        <v>2056</v>
      </c>
      <c r="E40" s="6" t="s">
        <v>553</v>
      </c>
      <c r="F40" s="6" t="s">
        <v>550</v>
      </c>
      <c r="G40" s="6" t="s">
        <v>552</v>
      </c>
      <c r="H40" s="6" t="s">
        <v>2584</v>
      </c>
      <c r="I40" s="6">
        <v>1</v>
      </c>
      <c r="J40" s="6">
        <v>2</v>
      </c>
      <c r="K40" s="6">
        <v>0</v>
      </c>
    </row>
    <row r="41" spans="1:11" ht="38.25" x14ac:dyDescent="0.2">
      <c r="A41" s="11" t="s">
        <v>1500</v>
      </c>
      <c r="B41" s="6" t="s">
        <v>1620</v>
      </c>
      <c r="C41" s="6" t="s">
        <v>1028</v>
      </c>
      <c r="D41" s="6" t="s">
        <v>2057</v>
      </c>
      <c r="E41" s="6" t="s">
        <v>553</v>
      </c>
      <c r="F41" s="6" t="s">
        <v>4326</v>
      </c>
      <c r="G41" s="6" t="s">
        <v>552</v>
      </c>
      <c r="H41" s="6" t="s">
        <v>2585</v>
      </c>
      <c r="I41" s="6">
        <v>1</v>
      </c>
      <c r="J41" s="6">
        <v>3</v>
      </c>
      <c r="K41" s="6">
        <v>0</v>
      </c>
    </row>
    <row r="42" spans="1:11" ht="63.75" x14ac:dyDescent="0.2">
      <c r="A42" s="12" t="s">
        <v>1501</v>
      </c>
      <c r="B42" s="6" t="s">
        <v>1621</v>
      </c>
      <c r="C42" s="6" t="s">
        <v>1028</v>
      </c>
      <c r="D42" s="6" t="s">
        <v>2058</v>
      </c>
      <c r="E42" s="6" t="s">
        <v>553</v>
      </c>
      <c r="F42" s="6" t="s">
        <v>4326</v>
      </c>
      <c r="G42" s="6" t="s">
        <v>552</v>
      </c>
      <c r="H42" s="6" t="s">
        <v>2586</v>
      </c>
      <c r="I42" s="6">
        <v>1</v>
      </c>
      <c r="J42" s="6">
        <v>5</v>
      </c>
      <c r="K42" s="6">
        <v>0</v>
      </c>
    </row>
    <row r="43" spans="1:11" ht="38.25" x14ac:dyDescent="0.2">
      <c r="A43" s="7" t="s">
        <v>1508</v>
      </c>
      <c r="B43" s="14" t="s">
        <v>4415</v>
      </c>
      <c r="C43" s="13" t="s">
        <v>1028</v>
      </c>
      <c r="D43" s="6" t="s">
        <v>2067</v>
      </c>
      <c r="E43" s="6" t="s">
        <v>553</v>
      </c>
      <c r="F43" s="6" t="s">
        <v>4326</v>
      </c>
      <c r="G43" s="6" t="s">
        <v>552</v>
      </c>
      <c r="H43" s="14" t="s">
        <v>2594</v>
      </c>
      <c r="I43" s="6">
        <v>1</v>
      </c>
      <c r="J43" s="6">
        <v>4</v>
      </c>
      <c r="K43" s="6">
        <v>0</v>
      </c>
    </row>
    <row r="44" spans="1:11" ht="63.75" x14ac:dyDescent="0.2">
      <c r="A44" s="12" t="s">
        <v>1509</v>
      </c>
      <c r="B44" s="6" t="s">
        <v>1628</v>
      </c>
      <c r="C44" s="6" t="s">
        <v>1028</v>
      </c>
      <c r="D44" s="6" t="s">
        <v>2068</v>
      </c>
      <c r="E44" s="6" t="s">
        <v>553</v>
      </c>
      <c r="F44" s="6" t="s">
        <v>4326</v>
      </c>
      <c r="G44" s="6" t="s">
        <v>552</v>
      </c>
      <c r="H44" s="6" t="s">
        <v>2595</v>
      </c>
      <c r="I44" s="6">
        <v>1</v>
      </c>
      <c r="J44" s="6">
        <v>7</v>
      </c>
      <c r="K44" s="6">
        <v>0</v>
      </c>
    </row>
    <row r="45" spans="1:11" ht="51" x14ac:dyDescent="0.2">
      <c r="A45" s="12" t="s">
        <v>1510</v>
      </c>
      <c r="B45" s="6" t="s">
        <v>1629</v>
      </c>
      <c r="C45" s="6" t="s">
        <v>1028</v>
      </c>
      <c r="D45" s="6" t="s">
        <v>2069</v>
      </c>
      <c r="E45" s="6" t="s">
        <v>553</v>
      </c>
      <c r="F45" s="6" t="s">
        <v>4326</v>
      </c>
      <c r="G45" s="6" t="s">
        <v>552</v>
      </c>
      <c r="H45" s="6" t="s">
        <v>2596</v>
      </c>
      <c r="I45" s="6">
        <v>1</v>
      </c>
      <c r="J45" s="6">
        <v>3</v>
      </c>
      <c r="K45" s="6">
        <v>0</v>
      </c>
    </row>
    <row r="46" spans="1:11" ht="63.75" x14ac:dyDescent="0.2">
      <c r="A46" s="12" t="s">
        <v>1511</v>
      </c>
      <c r="B46" s="6" t="s">
        <v>1630</v>
      </c>
      <c r="C46" s="6" t="s">
        <v>1028</v>
      </c>
      <c r="D46" s="6" t="s">
        <v>2070</v>
      </c>
      <c r="E46" s="6" t="s">
        <v>553</v>
      </c>
      <c r="F46" s="6" t="s">
        <v>4326</v>
      </c>
      <c r="G46" s="6" t="s">
        <v>552</v>
      </c>
      <c r="H46" s="6" t="s">
        <v>2586</v>
      </c>
      <c r="I46" s="6">
        <v>1</v>
      </c>
      <c r="J46" s="6">
        <v>8</v>
      </c>
      <c r="K46" s="6">
        <v>0</v>
      </c>
    </row>
    <row r="47" spans="1:11" ht="25.5" x14ac:dyDescent="0.2">
      <c r="A47" s="6" t="s">
        <v>2875</v>
      </c>
      <c r="B47" s="6" t="s">
        <v>2886</v>
      </c>
      <c r="C47" s="6" t="s">
        <v>1028</v>
      </c>
      <c r="D47" s="6" t="s">
        <v>2876</v>
      </c>
      <c r="E47" s="6" t="s">
        <v>553</v>
      </c>
      <c r="F47" s="6" t="s">
        <v>550</v>
      </c>
      <c r="G47" s="6" t="s">
        <v>552</v>
      </c>
      <c r="H47" s="6" t="s">
        <v>2882</v>
      </c>
      <c r="I47" s="6">
        <v>1</v>
      </c>
      <c r="J47" s="6">
        <v>1</v>
      </c>
      <c r="K47" s="6">
        <v>0</v>
      </c>
    </row>
    <row r="48" spans="1:11" x14ac:dyDescent="0.2">
      <c r="A48" s="11" t="s">
        <v>1249</v>
      </c>
      <c r="B48" s="13" t="s">
        <v>1631</v>
      </c>
      <c r="C48" s="6" t="s">
        <v>1028</v>
      </c>
      <c r="D48" s="6" t="s">
        <v>2071</v>
      </c>
      <c r="E48" s="6" t="s">
        <v>553</v>
      </c>
      <c r="F48" s="6" t="s">
        <v>550</v>
      </c>
      <c r="G48" s="6" t="s">
        <v>552</v>
      </c>
      <c r="H48" s="6" t="s">
        <v>2384</v>
      </c>
      <c r="I48" s="6">
        <v>1</v>
      </c>
      <c r="J48" s="6">
        <v>2</v>
      </c>
      <c r="K48" s="6">
        <v>0</v>
      </c>
    </row>
    <row r="49" spans="1:11" ht="25.5" x14ac:dyDescent="0.2">
      <c r="A49" s="12" t="s">
        <v>1285</v>
      </c>
      <c r="B49" s="6" t="s">
        <v>1406</v>
      </c>
      <c r="C49" s="6" t="s">
        <v>1028</v>
      </c>
      <c r="D49" s="6" t="s">
        <v>2130</v>
      </c>
      <c r="E49" s="6" t="s">
        <v>553</v>
      </c>
      <c r="F49" s="6" t="s">
        <v>550</v>
      </c>
      <c r="G49" s="6" t="s">
        <v>552</v>
      </c>
      <c r="H49" s="6" t="s">
        <v>2638</v>
      </c>
      <c r="I49" s="6">
        <v>1</v>
      </c>
      <c r="J49" s="6">
        <v>2</v>
      </c>
      <c r="K49" s="6">
        <v>0</v>
      </c>
    </row>
    <row r="50" spans="1:11" ht="25.5" x14ac:dyDescent="0.2">
      <c r="A50" s="11" t="s">
        <v>1250</v>
      </c>
      <c r="B50" s="6" t="s">
        <v>1632</v>
      </c>
      <c r="C50" s="6" t="s">
        <v>1028</v>
      </c>
      <c r="D50" s="6" t="s">
        <v>2072</v>
      </c>
      <c r="E50" s="6" t="s">
        <v>553</v>
      </c>
      <c r="F50" s="6" t="s">
        <v>550</v>
      </c>
      <c r="G50" s="6" t="s">
        <v>552</v>
      </c>
      <c r="H50" s="6" t="s">
        <v>2597</v>
      </c>
      <c r="I50" s="6">
        <v>1</v>
      </c>
      <c r="J50" s="6">
        <v>2</v>
      </c>
      <c r="K50" s="6">
        <v>0</v>
      </c>
    </row>
    <row r="51" spans="1:11" ht="51" x14ac:dyDescent="0.2">
      <c r="A51" s="11" t="s">
        <v>1286</v>
      </c>
      <c r="B51" s="6" t="s">
        <v>1407</v>
      </c>
      <c r="C51" s="6" t="s">
        <v>1028</v>
      </c>
      <c r="D51" s="6" t="s">
        <v>2131</v>
      </c>
      <c r="E51" s="6" t="s">
        <v>553</v>
      </c>
      <c r="F51" s="6" t="s">
        <v>550</v>
      </c>
      <c r="G51" s="6" t="s">
        <v>552</v>
      </c>
      <c r="H51" s="6" t="s">
        <v>2639</v>
      </c>
      <c r="I51" s="6">
        <v>1</v>
      </c>
      <c r="J51" s="6">
        <v>4</v>
      </c>
      <c r="K51" s="6">
        <v>0</v>
      </c>
    </row>
    <row r="52" spans="1:11" ht="25.5" x14ac:dyDescent="0.2">
      <c r="A52" s="11" t="s">
        <v>1251</v>
      </c>
      <c r="B52" s="6" t="s">
        <v>1633</v>
      </c>
      <c r="C52" s="6" t="s">
        <v>1028</v>
      </c>
      <c r="D52" s="6" t="s">
        <v>2073</v>
      </c>
      <c r="E52" s="6" t="s">
        <v>553</v>
      </c>
      <c r="F52" s="6" t="s">
        <v>550</v>
      </c>
      <c r="G52" s="6" t="s">
        <v>552</v>
      </c>
      <c r="H52" s="6" t="s">
        <v>2598</v>
      </c>
      <c r="I52" s="6">
        <v>1</v>
      </c>
      <c r="J52" s="6">
        <v>2</v>
      </c>
      <c r="K52" s="6">
        <v>0</v>
      </c>
    </row>
    <row r="53" spans="1:11" ht="25.5" x14ac:dyDescent="0.2">
      <c r="A53" s="7" t="s">
        <v>1252</v>
      </c>
      <c r="B53" s="6" t="s">
        <v>1634</v>
      </c>
      <c r="C53" s="6" t="s">
        <v>1028</v>
      </c>
      <c r="D53" s="6" t="s">
        <v>2074</v>
      </c>
      <c r="E53" s="6" t="s">
        <v>553</v>
      </c>
      <c r="F53" s="6" t="s">
        <v>550</v>
      </c>
      <c r="G53" s="6" t="s">
        <v>552</v>
      </c>
      <c r="H53" s="14" t="s">
        <v>2598</v>
      </c>
      <c r="I53" s="6">
        <v>1</v>
      </c>
      <c r="J53" s="6">
        <v>2</v>
      </c>
      <c r="K53" s="6">
        <v>0</v>
      </c>
    </row>
    <row r="54" spans="1:11" ht="38.25" x14ac:dyDescent="0.2">
      <c r="A54" s="12" t="s">
        <v>1253</v>
      </c>
      <c r="B54" s="6" t="s">
        <v>1635</v>
      </c>
      <c r="C54" s="6" t="s">
        <v>1028</v>
      </c>
      <c r="D54" s="6" t="s">
        <v>2075</v>
      </c>
      <c r="E54" s="6" t="s">
        <v>553</v>
      </c>
      <c r="F54" s="6" t="s">
        <v>550</v>
      </c>
      <c r="G54" s="6" t="s">
        <v>552</v>
      </c>
      <c r="H54" s="6" t="s">
        <v>2600</v>
      </c>
      <c r="I54" s="6">
        <v>1</v>
      </c>
      <c r="J54" s="6">
        <v>2</v>
      </c>
      <c r="K54" s="6">
        <v>0</v>
      </c>
    </row>
    <row r="55" spans="1:11" ht="51" x14ac:dyDescent="0.2">
      <c r="A55" s="9" t="s">
        <v>1502</v>
      </c>
      <c r="B55" s="14" t="s">
        <v>1622</v>
      </c>
      <c r="C55" s="13" t="s">
        <v>1028</v>
      </c>
      <c r="D55" s="6" t="s">
        <v>2059</v>
      </c>
      <c r="E55" s="6" t="s">
        <v>553</v>
      </c>
      <c r="F55" s="6" t="s">
        <v>4326</v>
      </c>
      <c r="G55" s="6" t="s">
        <v>552</v>
      </c>
      <c r="H55" s="6" t="s">
        <v>2587</v>
      </c>
      <c r="I55" s="6">
        <v>1</v>
      </c>
      <c r="J55" s="6">
        <v>3</v>
      </c>
      <c r="K55" s="6">
        <v>0</v>
      </c>
    </row>
    <row r="56" spans="1:11" ht="63.75" x14ac:dyDescent="0.2">
      <c r="A56" s="8" t="s">
        <v>1503</v>
      </c>
      <c r="B56" s="6" t="s">
        <v>1623</v>
      </c>
      <c r="C56" s="13" t="s">
        <v>1028</v>
      </c>
      <c r="D56" s="6" t="s">
        <v>2060</v>
      </c>
      <c r="E56" s="6" t="s">
        <v>553</v>
      </c>
      <c r="F56" s="6" t="s">
        <v>4326</v>
      </c>
      <c r="G56" s="6" t="s">
        <v>552</v>
      </c>
      <c r="H56" s="6" t="s">
        <v>2586</v>
      </c>
      <c r="I56" s="6">
        <v>1</v>
      </c>
      <c r="J56" s="6">
        <v>5</v>
      </c>
      <c r="K56" s="6">
        <v>0</v>
      </c>
    </row>
    <row r="57" spans="1:11" ht="38.25" x14ac:dyDescent="0.2">
      <c r="A57" s="11" t="s">
        <v>1504</v>
      </c>
      <c r="B57" s="6" t="s">
        <v>1624</v>
      </c>
      <c r="C57" s="6" t="s">
        <v>1028</v>
      </c>
      <c r="D57" s="6" t="s">
        <v>2061</v>
      </c>
      <c r="E57" s="6" t="s">
        <v>553</v>
      </c>
      <c r="F57" s="6" t="s">
        <v>4326</v>
      </c>
      <c r="G57" s="6" t="s">
        <v>552</v>
      </c>
      <c r="H57" s="6" t="s">
        <v>2588</v>
      </c>
      <c r="I57" s="6">
        <v>1</v>
      </c>
      <c r="J57" s="6">
        <v>3</v>
      </c>
      <c r="K57" s="6">
        <v>0</v>
      </c>
    </row>
    <row r="58" spans="1:11" ht="63.75" x14ac:dyDescent="0.2">
      <c r="A58" s="11" t="s">
        <v>1505</v>
      </c>
      <c r="B58" s="13" t="s">
        <v>1625</v>
      </c>
      <c r="C58" s="6" t="s">
        <v>1028</v>
      </c>
      <c r="D58" s="6" t="s">
        <v>2062</v>
      </c>
      <c r="E58" s="6" t="s">
        <v>553</v>
      </c>
      <c r="F58" s="6" t="s">
        <v>4326</v>
      </c>
      <c r="G58" s="6" t="s">
        <v>552</v>
      </c>
      <c r="H58" s="6" t="s">
        <v>2589</v>
      </c>
      <c r="I58" s="6">
        <v>1</v>
      </c>
      <c r="J58" s="6">
        <v>5</v>
      </c>
      <c r="K58" s="6">
        <v>0</v>
      </c>
    </row>
    <row r="59" spans="1:11" ht="25.5" x14ac:dyDescent="0.2">
      <c r="A59" s="11" t="s">
        <v>1916</v>
      </c>
      <c r="B59" s="6" t="s">
        <v>1922</v>
      </c>
      <c r="C59" s="6" t="s">
        <v>1028</v>
      </c>
      <c r="D59" s="6" t="s">
        <v>2063</v>
      </c>
      <c r="E59" s="6" t="s">
        <v>553</v>
      </c>
      <c r="F59" s="6" t="s">
        <v>550</v>
      </c>
      <c r="G59" s="6" t="s">
        <v>552</v>
      </c>
      <c r="H59" s="6" t="s">
        <v>2590</v>
      </c>
      <c r="I59" s="6">
        <v>1</v>
      </c>
      <c r="J59" s="6">
        <v>2</v>
      </c>
      <c r="K59" s="6">
        <v>0</v>
      </c>
    </row>
    <row r="60" spans="1:11" ht="25.5" x14ac:dyDescent="0.2">
      <c r="A60" s="11" t="s">
        <v>1917</v>
      </c>
      <c r="B60" s="6" t="s">
        <v>1923</v>
      </c>
      <c r="C60" s="6" t="s">
        <v>1028</v>
      </c>
      <c r="D60" s="6" t="s">
        <v>2064</v>
      </c>
      <c r="E60" s="6" t="s">
        <v>553</v>
      </c>
      <c r="F60" s="6" t="s">
        <v>550</v>
      </c>
      <c r="G60" s="6" t="s">
        <v>552</v>
      </c>
      <c r="H60" s="6" t="s">
        <v>2590</v>
      </c>
      <c r="I60" s="6">
        <v>1</v>
      </c>
      <c r="J60" s="6">
        <v>2</v>
      </c>
      <c r="K60" s="6">
        <v>0</v>
      </c>
    </row>
    <row r="61" spans="1:11" ht="25.5" x14ac:dyDescent="0.2">
      <c r="A61" s="6" t="s">
        <v>1287</v>
      </c>
      <c r="B61" s="6" t="s">
        <v>1408</v>
      </c>
      <c r="C61" s="6" t="s">
        <v>1028</v>
      </c>
      <c r="D61" s="6" t="s">
        <v>2132</v>
      </c>
      <c r="E61" s="6" t="s">
        <v>553</v>
      </c>
      <c r="F61" s="6" t="s">
        <v>550</v>
      </c>
      <c r="G61" s="6" t="s">
        <v>552</v>
      </c>
      <c r="H61" s="6" t="s">
        <v>2590</v>
      </c>
      <c r="I61" s="6">
        <v>1</v>
      </c>
      <c r="J61" s="6">
        <v>2</v>
      </c>
      <c r="K61" s="6">
        <v>0</v>
      </c>
    </row>
    <row r="62" spans="1:11" ht="38.25" x14ac:dyDescent="0.2">
      <c r="A62" s="6" t="s">
        <v>1288</v>
      </c>
      <c r="B62" s="6" t="s">
        <v>1409</v>
      </c>
      <c r="C62" s="6" t="s">
        <v>1028</v>
      </c>
      <c r="D62" s="6" t="s">
        <v>2133</v>
      </c>
      <c r="E62" s="6" t="s">
        <v>553</v>
      </c>
      <c r="F62" s="6" t="s">
        <v>550</v>
      </c>
      <c r="G62" s="6" t="s">
        <v>552</v>
      </c>
      <c r="H62" s="6" t="s">
        <v>2641</v>
      </c>
      <c r="I62" s="6">
        <v>1</v>
      </c>
      <c r="J62" s="6">
        <v>2</v>
      </c>
      <c r="K62" s="6">
        <v>0</v>
      </c>
    </row>
    <row r="63" spans="1:11" ht="38.25" x14ac:dyDescent="0.2">
      <c r="A63" s="11" t="s">
        <v>1254</v>
      </c>
      <c r="B63" s="6" t="s">
        <v>1636</v>
      </c>
      <c r="C63" s="6" t="s">
        <v>1028</v>
      </c>
      <c r="D63" s="6" t="s">
        <v>2076</v>
      </c>
      <c r="E63" s="6" t="s">
        <v>553</v>
      </c>
      <c r="F63" s="6" t="s">
        <v>1255</v>
      </c>
      <c r="G63" s="6" t="s">
        <v>552</v>
      </c>
      <c r="H63" s="6" t="s">
        <v>3986</v>
      </c>
      <c r="I63" s="6">
        <v>1</v>
      </c>
      <c r="J63" s="6">
        <v>2</v>
      </c>
      <c r="K63" s="6">
        <v>0</v>
      </c>
    </row>
    <row r="64" spans="1:11" ht="25.5" x14ac:dyDescent="0.2">
      <c r="A64" s="12" t="s">
        <v>2877</v>
      </c>
      <c r="B64" s="6" t="s">
        <v>2887</v>
      </c>
      <c r="C64" s="13" t="s">
        <v>1028</v>
      </c>
      <c r="D64" s="6" t="s">
        <v>2878</v>
      </c>
      <c r="E64" s="6" t="s">
        <v>553</v>
      </c>
      <c r="F64" s="6" t="s">
        <v>550</v>
      </c>
      <c r="G64" s="6" t="s">
        <v>552</v>
      </c>
      <c r="H64" s="6" t="s">
        <v>2888</v>
      </c>
      <c r="I64" s="6">
        <v>1</v>
      </c>
      <c r="J64" s="6">
        <v>2</v>
      </c>
      <c r="K64" s="6">
        <v>0</v>
      </c>
    </row>
    <row r="65" spans="1:11" ht="63.75" x14ac:dyDescent="0.2">
      <c r="A65" s="8" t="s">
        <v>1512</v>
      </c>
      <c r="B65" s="6" t="s">
        <v>1637</v>
      </c>
      <c r="C65" s="6" t="s">
        <v>1028</v>
      </c>
      <c r="D65" s="6" t="s">
        <v>2077</v>
      </c>
      <c r="E65" s="6" t="s">
        <v>553</v>
      </c>
      <c r="F65" s="6" t="s">
        <v>550</v>
      </c>
      <c r="G65" s="6" t="s">
        <v>552</v>
      </c>
      <c r="H65" s="6" t="s">
        <v>2601</v>
      </c>
      <c r="I65" s="6">
        <v>1</v>
      </c>
      <c r="J65" s="6">
        <v>7</v>
      </c>
      <c r="K65" s="6">
        <v>0</v>
      </c>
    </row>
    <row r="66" spans="1:11" ht="25.5" x14ac:dyDescent="0.2">
      <c r="A66" s="11" t="s">
        <v>1289</v>
      </c>
      <c r="B66" s="6" t="s">
        <v>1410</v>
      </c>
      <c r="C66" s="6" t="s">
        <v>1028</v>
      </c>
      <c r="D66" s="6" t="s">
        <v>2134</v>
      </c>
      <c r="E66" s="6" t="s">
        <v>553</v>
      </c>
      <c r="F66" s="6" t="s">
        <v>550</v>
      </c>
      <c r="G66" s="6" t="s">
        <v>552</v>
      </c>
      <c r="H66" s="6" t="s">
        <v>2642</v>
      </c>
      <c r="I66" s="6">
        <v>1</v>
      </c>
      <c r="J66" s="6">
        <v>2</v>
      </c>
      <c r="K66" s="6">
        <v>0</v>
      </c>
    </row>
    <row r="67" spans="1:11" ht="38.25" x14ac:dyDescent="0.2">
      <c r="A67" s="11" t="s">
        <v>1513</v>
      </c>
      <c r="B67" s="6" t="s">
        <v>1638</v>
      </c>
      <c r="C67" s="6" t="s">
        <v>1028</v>
      </c>
      <c r="D67" s="6" t="s">
        <v>2078</v>
      </c>
      <c r="E67" s="6" t="s">
        <v>553</v>
      </c>
      <c r="F67" s="6" t="s">
        <v>550</v>
      </c>
      <c r="G67" s="6" t="s">
        <v>552</v>
      </c>
      <c r="H67" s="6" t="s">
        <v>2602</v>
      </c>
      <c r="I67" s="6">
        <v>1</v>
      </c>
      <c r="J67" s="6">
        <v>2</v>
      </c>
      <c r="K67" s="6">
        <v>0</v>
      </c>
    </row>
    <row r="68" spans="1:11" ht="51" x14ac:dyDescent="0.2">
      <c r="A68" s="12" t="s">
        <v>1256</v>
      </c>
      <c r="B68" s="6" t="s">
        <v>1639</v>
      </c>
      <c r="C68" s="6" t="s">
        <v>1028</v>
      </c>
      <c r="D68" s="6" t="s">
        <v>2079</v>
      </c>
      <c r="E68" s="6" t="s">
        <v>553</v>
      </c>
      <c r="F68" s="6" t="s">
        <v>550</v>
      </c>
      <c r="G68" s="6" t="s">
        <v>552</v>
      </c>
      <c r="H68" s="6" t="s">
        <v>2603</v>
      </c>
      <c r="I68" s="6">
        <v>1</v>
      </c>
      <c r="J68" s="6">
        <v>7</v>
      </c>
      <c r="K68" s="6">
        <v>0</v>
      </c>
    </row>
    <row r="69" spans="1:11" ht="51" x14ac:dyDescent="0.2">
      <c r="A69" s="12" t="s">
        <v>4178</v>
      </c>
      <c r="B69" s="6" t="s">
        <v>4195</v>
      </c>
      <c r="C69" s="6" t="s">
        <v>1028</v>
      </c>
      <c r="D69" s="6" t="s">
        <v>4179</v>
      </c>
      <c r="E69" s="6" t="s">
        <v>553</v>
      </c>
      <c r="F69" s="6" t="s">
        <v>1255</v>
      </c>
      <c r="G69" s="6" t="s">
        <v>552</v>
      </c>
      <c r="H69" s="6" t="s">
        <v>4196</v>
      </c>
      <c r="I69" s="6">
        <v>1</v>
      </c>
      <c r="J69" s="6">
        <v>3</v>
      </c>
      <c r="K69" s="6">
        <v>0</v>
      </c>
    </row>
    <row r="70" spans="1:11" ht="51" x14ac:dyDescent="0.2">
      <c r="A70" s="12" t="s">
        <v>4180</v>
      </c>
      <c r="B70" s="14" t="s">
        <v>4197</v>
      </c>
      <c r="C70" s="6" t="s">
        <v>1028</v>
      </c>
      <c r="D70" s="6" t="s">
        <v>4181</v>
      </c>
      <c r="E70" s="6" t="s">
        <v>553</v>
      </c>
      <c r="F70" s="6" t="s">
        <v>550</v>
      </c>
      <c r="G70" s="6" t="s">
        <v>552</v>
      </c>
      <c r="H70" s="6" t="s">
        <v>4196</v>
      </c>
      <c r="I70" s="6">
        <v>1</v>
      </c>
      <c r="J70" s="6">
        <v>3</v>
      </c>
      <c r="K70" s="6">
        <v>0</v>
      </c>
    </row>
    <row r="71" spans="1:11" ht="25.5" x14ac:dyDescent="0.2">
      <c r="A71" s="11" t="s">
        <v>4182</v>
      </c>
      <c r="B71" s="6" t="s">
        <v>4198</v>
      </c>
      <c r="C71" s="6" t="s">
        <v>1028</v>
      </c>
      <c r="D71" s="6" t="s">
        <v>4183</v>
      </c>
      <c r="E71" s="6" t="s">
        <v>553</v>
      </c>
      <c r="F71" s="6" t="s">
        <v>550</v>
      </c>
      <c r="G71" s="6" t="s">
        <v>552</v>
      </c>
      <c r="H71" s="6" t="s">
        <v>4199</v>
      </c>
      <c r="I71" s="6">
        <v>1</v>
      </c>
      <c r="J71" s="6">
        <v>2</v>
      </c>
      <c r="K71" s="6">
        <v>0</v>
      </c>
    </row>
    <row r="72" spans="1:11" ht="25.5" x14ac:dyDescent="0.2">
      <c r="A72" s="11" t="s">
        <v>4184</v>
      </c>
      <c r="B72" s="13" t="s">
        <v>4200</v>
      </c>
      <c r="C72" s="6" t="s">
        <v>1028</v>
      </c>
      <c r="D72" s="6" t="s">
        <v>4185</v>
      </c>
      <c r="E72" s="6" t="s">
        <v>553</v>
      </c>
      <c r="F72" s="6" t="s">
        <v>550</v>
      </c>
      <c r="G72" s="6" t="s">
        <v>552</v>
      </c>
      <c r="H72" s="6" t="s">
        <v>4199</v>
      </c>
      <c r="I72" s="6">
        <v>1</v>
      </c>
      <c r="J72" s="6">
        <v>2</v>
      </c>
      <c r="K72" s="6">
        <v>0</v>
      </c>
    </row>
    <row r="73" spans="1:11" ht="38.25" x14ac:dyDescent="0.2">
      <c r="A73" s="11" t="s">
        <v>1291</v>
      </c>
      <c r="B73" s="6" t="s">
        <v>1412</v>
      </c>
      <c r="C73" s="6" t="s">
        <v>1028</v>
      </c>
      <c r="D73" s="6" t="s">
        <v>2136</v>
      </c>
      <c r="E73" s="6" t="s">
        <v>553</v>
      </c>
      <c r="F73" s="6" t="s">
        <v>1292</v>
      </c>
      <c r="G73" s="6" t="s">
        <v>552</v>
      </c>
      <c r="H73" s="6" t="s">
        <v>2643</v>
      </c>
      <c r="I73" s="6">
        <v>1</v>
      </c>
      <c r="J73" s="6">
        <v>4</v>
      </c>
      <c r="K73" s="6">
        <v>0</v>
      </c>
    </row>
    <row r="74" spans="1:11" ht="38.25" x14ac:dyDescent="0.2">
      <c r="A74" s="11" t="s">
        <v>1290</v>
      </c>
      <c r="B74" s="14" t="s">
        <v>1411</v>
      </c>
      <c r="C74" s="6" t="s">
        <v>1028</v>
      </c>
      <c r="D74" s="6" t="s">
        <v>2135</v>
      </c>
      <c r="E74" s="6" t="s">
        <v>553</v>
      </c>
      <c r="F74" s="6" t="s">
        <v>550</v>
      </c>
      <c r="G74" s="6" t="s">
        <v>552</v>
      </c>
      <c r="H74" s="6" t="s">
        <v>2643</v>
      </c>
      <c r="I74" s="6">
        <v>1</v>
      </c>
      <c r="J74" s="6">
        <v>4</v>
      </c>
      <c r="K74" s="6">
        <v>0</v>
      </c>
    </row>
    <row r="75" spans="1:11" ht="25.5" x14ac:dyDescent="0.2">
      <c r="A75" s="9" t="s">
        <v>4397</v>
      </c>
      <c r="B75" s="13" t="s">
        <v>4409</v>
      </c>
      <c r="C75" s="13" t="s">
        <v>1028</v>
      </c>
      <c r="D75" s="6" t="s">
        <v>4398</v>
      </c>
      <c r="E75" s="6" t="s">
        <v>553</v>
      </c>
      <c r="F75" s="6" t="s">
        <v>550</v>
      </c>
      <c r="G75" s="6" t="s">
        <v>552</v>
      </c>
      <c r="H75" s="6" t="s">
        <v>4410</v>
      </c>
      <c r="I75" s="6">
        <v>1</v>
      </c>
      <c r="J75" s="6">
        <v>2</v>
      </c>
      <c r="K75" s="6">
        <v>0</v>
      </c>
    </row>
    <row r="76" spans="1:11" ht="25.5" x14ac:dyDescent="0.2">
      <c r="A76" s="8" t="s">
        <v>4399</v>
      </c>
      <c r="B76" s="6" t="s">
        <v>4411</v>
      </c>
      <c r="C76" s="6" t="s">
        <v>1028</v>
      </c>
      <c r="D76" s="6" t="s">
        <v>4400</v>
      </c>
      <c r="E76" s="6" t="s">
        <v>553</v>
      </c>
      <c r="F76" s="6" t="s">
        <v>550</v>
      </c>
      <c r="G76" s="6" t="s">
        <v>552</v>
      </c>
      <c r="H76" s="6" t="s">
        <v>4410</v>
      </c>
      <c r="I76" s="6">
        <v>1</v>
      </c>
      <c r="J76" s="6">
        <v>2</v>
      </c>
      <c r="K76" s="6">
        <v>0</v>
      </c>
    </row>
    <row r="77" spans="1:11" ht="38.25" x14ac:dyDescent="0.2">
      <c r="A77" s="12" t="s">
        <v>1293</v>
      </c>
      <c r="B77" s="6" t="s">
        <v>1413</v>
      </c>
      <c r="C77" s="6" t="s">
        <v>1028</v>
      </c>
      <c r="D77" s="6" t="s">
        <v>2137</v>
      </c>
      <c r="E77" s="6" t="s">
        <v>553</v>
      </c>
      <c r="F77" s="6" t="s">
        <v>550</v>
      </c>
      <c r="G77" s="6" t="s">
        <v>552</v>
      </c>
      <c r="H77" s="6" t="s">
        <v>2591</v>
      </c>
      <c r="I77" s="6">
        <v>1</v>
      </c>
      <c r="J77" s="6">
        <v>2</v>
      </c>
      <c r="K77" s="6">
        <v>0</v>
      </c>
    </row>
    <row r="78" spans="1:11" ht="25.5" x14ac:dyDescent="0.2">
      <c r="A78" s="12" t="s">
        <v>1294</v>
      </c>
      <c r="B78" s="6" t="s">
        <v>1414</v>
      </c>
      <c r="C78" s="13" t="s">
        <v>1028</v>
      </c>
      <c r="D78" s="6" t="s">
        <v>2138</v>
      </c>
      <c r="E78" s="6" t="s">
        <v>553</v>
      </c>
      <c r="F78" s="6" t="s">
        <v>550</v>
      </c>
      <c r="G78" s="6" t="s">
        <v>552</v>
      </c>
      <c r="H78" s="6" t="s">
        <v>2645</v>
      </c>
      <c r="I78" s="6">
        <v>1</v>
      </c>
      <c r="J78" s="6">
        <v>2</v>
      </c>
      <c r="K78" s="6">
        <v>0</v>
      </c>
    </row>
    <row r="79" spans="1:11" ht="51" x14ac:dyDescent="0.2">
      <c r="A79" s="6" t="s">
        <v>1302</v>
      </c>
      <c r="B79" s="6" t="s">
        <v>1421</v>
      </c>
      <c r="C79" s="6" t="s">
        <v>1028</v>
      </c>
      <c r="D79" s="6" t="s">
        <v>2147</v>
      </c>
      <c r="E79" s="6" t="s">
        <v>553</v>
      </c>
      <c r="F79" s="6" t="s">
        <v>550</v>
      </c>
      <c r="G79" s="6" t="s">
        <v>552</v>
      </c>
      <c r="H79" s="6" t="s">
        <v>2647</v>
      </c>
      <c r="I79" s="6">
        <v>1</v>
      </c>
      <c r="J79" s="6">
        <v>3</v>
      </c>
      <c r="K79" s="6">
        <v>0</v>
      </c>
    </row>
    <row r="80" spans="1:11" ht="51" x14ac:dyDescent="0.2">
      <c r="A80" s="7" t="s">
        <v>1301</v>
      </c>
      <c r="B80" s="6" t="s">
        <v>1420</v>
      </c>
      <c r="C80" s="6" t="s">
        <v>1028</v>
      </c>
      <c r="D80" s="6" t="s">
        <v>2146</v>
      </c>
      <c r="E80" s="6" t="s">
        <v>553</v>
      </c>
      <c r="F80" s="6" t="s">
        <v>550</v>
      </c>
      <c r="G80" s="6" t="s">
        <v>552</v>
      </c>
      <c r="H80" s="6" t="s">
        <v>2647</v>
      </c>
      <c r="I80" s="6">
        <v>1</v>
      </c>
      <c r="J80" s="6">
        <v>3</v>
      </c>
      <c r="K80" s="6">
        <v>0</v>
      </c>
    </row>
    <row r="81" spans="1:11" ht="38.25" x14ac:dyDescent="0.2">
      <c r="A81" s="8" t="s">
        <v>1305</v>
      </c>
      <c r="B81" s="6" t="s">
        <v>1424</v>
      </c>
      <c r="C81" s="6" t="s">
        <v>1028</v>
      </c>
      <c r="D81" s="6" t="s">
        <v>2150</v>
      </c>
      <c r="E81" s="6" t="s">
        <v>553</v>
      </c>
      <c r="F81" s="6" t="s">
        <v>550</v>
      </c>
      <c r="G81" s="6" t="s">
        <v>552</v>
      </c>
      <c r="H81" s="6" t="s">
        <v>2652</v>
      </c>
      <c r="I81" s="6">
        <v>1</v>
      </c>
      <c r="J81" s="6">
        <v>4</v>
      </c>
      <c r="K81" s="6">
        <v>0</v>
      </c>
    </row>
    <row r="82" spans="1:11" ht="51" x14ac:dyDescent="0.2">
      <c r="A82" s="11" t="s">
        <v>1300</v>
      </c>
      <c r="B82" s="6" t="s">
        <v>1419</v>
      </c>
      <c r="C82" s="6" t="s">
        <v>1028</v>
      </c>
      <c r="D82" s="6" t="s">
        <v>2145</v>
      </c>
      <c r="E82" s="6" t="s">
        <v>553</v>
      </c>
      <c r="F82" s="6" t="s">
        <v>550</v>
      </c>
      <c r="G82" s="6" t="s">
        <v>552</v>
      </c>
      <c r="H82" s="6" t="s">
        <v>2647</v>
      </c>
      <c r="I82" s="6">
        <v>1</v>
      </c>
      <c r="J82" s="6">
        <v>3</v>
      </c>
      <c r="K82" s="6">
        <v>0</v>
      </c>
    </row>
    <row r="83" spans="1:11" ht="51" x14ac:dyDescent="0.2">
      <c r="A83" s="7" t="s">
        <v>1299</v>
      </c>
      <c r="B83" s="6" t="s">
        <v>1418</v>
      </c>
      <c r="C83" s="6" t="s">
        <v>1028</v>
      </c>
      <c r="D83" s="6" t="s">
        <v>2144</v>
      </c>
      <c r="E83" s="6" t="s">
        <v>553</v>
      </c>
      <c r="F83" s="6" t="s">
        <v>550</v>
      </c>
      <c r="G83" s="6" t="s">
        <v>552</v>
      </c>
      <c r="H83" s="6" t="s">
        <v>2647</v>
      </c>
      <c r="I83" s="6">
        <v>1</v>
      </c>
      <c r="J83" s="6">
        <v>3</v>
      </c>
      <c r="K83" s="6">
        <v>0</v>
      </c>
    </row>
    <row r="84" spans="1:11" ht="38.25" x14ac:dyDescent="0.2">
      <c r="A84" s="11" t="s">
        <v>1304</v>
      </c>
      <c r="B84" s="6" t="s">
        <v>1423</v>
      </c>
      <c r="C84" s="6" t="s">
        <v>1028</v>
      </c>
      <c r="D84" s="6" t="s">
        <v>2149</v>
      </c>
      <c r="E84" s="6" t="s">
        <v>553</v>
      </c>
      <c r="F84" s="6" t="s">
        <v>550</v>
      </c>
      <c r="G84" s="6" t="s">
        <v>552</v>
      </c>
      <c r="H84" s="6" t="s">
        <v>2651</v>
      </c>
      <c r="I84" s="6">
        <v>1</v>
      </c>
      <c r="J84" s="6">
        <v>4</v>
      </c>
      <c r="K84" s="6">
        <v>0</v>
      </c>
    </row>
    <row r="85" spans="1:11" ht="51" x14ac:dyDescent="0.2">
      <c r="A85" s="8" t="s">
        <v>1296</v>
      </c>
      <c r="B85" s="6" t="s">
        <v>1415</v>
      </c>
      <c r="C85" s="6" t="s">
        <v>1028</v>
      </c>
      <c r="D85" s="6" t="s">
        <v>2141</v>
      </c>
      <c r="E85" s="6" t="s">
        <v>553</v>
      </c>
      <c r="F85" s="6" t="s">
        <v>550</v>
      </c>
      <c r="G85" s="6" t="s">
        <v>552</v>
      </c>
      <c r="H85" s="6" t="s">
        <v>2647</v>
      </c>
      <c r="I85" s="6">
        <v>1</v>
      </c>
      <c r="J85" s="6">
        <v>5</v>
      </c>
      <c r="K85" s="6">
        <v>0</v>
      </c>
    </row>
    <row r="86" spans="1:11" ht="51" x14ac:dyDescent="0.2">
      <c r="A86" s="6" t="s">
        <v>1295</v>
      </c>
      <c r="B86" s="6" t="s">
        <v>1676</v>
      </c>
      <c r="C86" s="6" t="s">
        <v>1028</v>
      </c>
      <c r="D86" s="6" t="s">
        <v>2140</v>
      </c>
      <c r="E86" s="6" t="s">
        <v>553</v>
      </c>
      <c r="F86" s="6" t="s">
        <v>550</v>
      </c>
      <c r="G86" s="6" t="s">
        <v>552</v>
      </c>
      <c r="H86" s="6" t="s">
        <v>2647</v>
      </c>
      <c r="I86" s="6">
        <v>1</v>
      </c>
      <c r="J86" s="6">
        <v>5</v>
      </c>
      <c r="K86" s="6">
        <v>0</v>
      </c>
    </row>
    <row r="87" spans="1:11" ht="51" x14ac:dyDescent="0.2">
      <c r="A87" s="8" t="s">
        <v>1298</v>
      </c>
      <c r="B87" s="6" t="s">
        <v>1417</v>
      </c>
      <c r="C87" s="13" t="s">
        <v>1028</v>
      </c>
      <c r="D87" s="6" t="s">
        <v>2143</v>
      </c>
      <c r="E87" s="6" t="s">
        <v>553</v>
      </c>
      <c r="F87" s="6" t="s">
        <v>550</v>
      </c>
      <c r="G87" s="6" t="s">
        <v>552</v>
      </c>
      <c r="H87" s="14" t="s">
        <v>2647</v>
      </c>
      <c r="I87" s="6">
        <v>1</v>
      </c>
      <c r="J87" s="6">
        <v>3</v>
      </c>
      <c r="K87" s="6">
        <v>0</v>
      </c>
    </row>
    <row r="88" spans="1:11" ht="51" x14ac:dyDescent="0.2">
      <c r="A88" s="11" t="s">
        <v>1297</v>
      </c>
      <c r="B88" s="14" t="s">
        <v>1416</v>
      </c>
      <c r="C88" s="6" t="s">
        <v>1028</v>
      </c>
      <c r="D88" s="6" t="s">
        <v>2142</v>
      </c>
      <c r="E88" s="6" t="s">
        <v>553</v>
      </c>
      <c r="F88" s="6" t="s">
        <v>550</v>
      </c>
      <c r="G88" s="6" t="s">
        <v>552</v>
      </c>
      <c r="H88" s="6" t="s">
        <v>2648</v>
      </c>
      <c r="I88" s="6">
        <v>1</v>
      </c>
      <c r="J88" s="6">
        <v>3</v>
      </c>
      <c r="K88" s="6">
        <v>0</v>
      </c>
    </row>
    <row r="89" spans="1:11" ht="38.25" x14ac:dyDescent="0.2">
      <c r="A89" s="11" t="s">
        <v>1303</v>
      </c>
      <c r="B89" s="6" t="s">
        <v>1422</v>
      </c>
      <c r="C89" s="6" t="s">
        <v>1028</v>
      </c>
      <c r="D89" s="6" t="s">
        <v>2148</v>
      </c>
      <c r="E89" s="6" t="s">
        <v>553</v>
      </c>
      <c r="F89" s="6" t="s">
        <v>550</v>
      </c>
      <c r="G89" s="6" t="s">
        <v>552</v>
      </c>
      <c r="H89" s="6" t="s">
        <v>2650</v>
      </c>
      <c r="I89" s="6">
        <v>1</v>
      </c>
      <c r="J89" s="6">
        <v>4</v>
      </c>
      <c r="K89" s="6">
        <v>0</v>
      </c>
    </row>
    <row r="90" spans="1:11" ht="38.25" x14ac:dyDescent="0.2">
      <c r="A90" s="12" t="s">
        <v>1309</v>
      </c>
      <c r="B90" s="6" t="s">
        <v>1428</v>
      </c>
      <c r="C90" s="6" t="s">
        <v>1028</v>
      </c>
      <c r="D90" s="6" t="s">
        <v>2154</v>
      </c>
      <c r="E90" s="6" t="s">
        <v>553</v>
      </c>
      <c r="F90" s="6" t="s">
        <v>550</v>
      </c>
      <c r="G90" s="6" t="s">
        <v>552</v>
      </c>
      <c r="H90" s="6" t="s">
        <v>2655</v>
      </c>
      <c r="I90" s="6">
        <v>1</v>
      </c>
      <c r="J90" s="6">
        <v>2</v>
      </c>
      <c r="K90" s="6">
        <v>0</v>
      </c>
    </row>
    <row r="91" spans="1:11" ht="25.5" x14ac:dyDescent="0.2">
      <c r="A91" s="11" t="s">
        <v>1310</v>
      </c>
      <c r="B91" s="6" t="s">
        <v>1429</v>
      </c>
      <c r="C91" s="6" t="s">
        <v>1028</v>
      </c>
      <c r="D91" s="6" t="s">
        <v>2155</v>
      </c>
      <c r="E91" s="6" t="s">
        <v>553</v>
      </c>
      <c r="F91" s="6" t="s">
        <v>550</v>
      </c>
      <c r="G91" s="6" t="s">
        <v>552</v>
      </c>
      <c r="H91" s="6" t="s">
        <v>2656</v>
      </c>
      <c r="I91" s="6">
        <v>1</v>
      </c>
      <c r="J91" s="6">
        <v>3</v>
      </c>
      <c r="K91" s="6">
        <v>0</v>
      </c>
    </row>
    <row r="92" spans="1:11" ht="25.5" x14ac:dyDescent="0.2">
      <c r="A92" s="6" t="s">
        <v>1311</v>
      </c>
      <c r="B92" s="6" t="s">
        <v>1430</v>
      </c>
      <c r="C92" s="6" t="s">
        <v>1028</v>
      </c>
      <c r="D92" s="6" t="s">
        <v>2156</v>
      </c>
      <c r="E92" s="6" t="s">
        <v>553</v>
      </c>
      <c r="F92" s="6" t="s">
        <v>550</v>
      </c>
      <c r="G92" s="6" t="s">
        <v>552</v>
      </c>
      <c r="H92" s="6" t="s">
        <v>2656</v>
      </c>
      <c r="I92" s="6">
        <v>1</v>
      </c>
      <c r="J92" s="6">
        <v>3</v>
      </c>
      <c r="K92" s="6">
        <v>0</v>
      </c>
    </row>
    <row r="93" spans="1:11" ht="38.25" x14ac:dyDescent="0.2">
      <c r="A93" s="12" t="s">
        <v>1312</v>
      </c>
      <c r="B93" s="6" t="s">
        <v>1431</v>
      </c>
      <c r="C93" s="6" t="s">
        <v>1028</v>
      </c>
      <c r="D93" s="6" t="s">
        <v>2157</v>
      </c>
      <c r="E93" s="6" t="s">
        <v>553</v>
      </c>
      <c r="F93" s="6" t="s">
        <v>550</v>
      </c>
      <c r="G93" s="6" t="s">
        <v>552</v>
      </c>
      <c r="H93" s="6" t="s">
        <v>2658</v>
      </c>
      <c r="I93" s="6">
        <v>1</v>
      </c>
      <c r="J93" s="6">
        <v>3</v>
      </c>
      <c r="K93" s="6">
        <v>0</v>
      </c>
    </row>
    <row r="94" spans="1:11" ht="38.25" x14ac:dyDescent="0.2">
      <c r="A94" s="11" t="s">
        <v>1313</v>
      </c>
      <c r="B94" s="6" t="s">
        <v>1432</v>
      </c>
      <c r="C94" s="6" t="s">
        <v>1028</v>
      </c>
      <c r="D94" s="6" t="s">
        <v>2158</v>
      </c>
      <c r="E94" s="6" t="s">
        <v>553</v>
      </c>
      <c r="F94" s="6" t="s">
        <v>550</v>
      </c>
      <c r="G94" s="6" t="s">
        <v>552</v>
      </c>
      <c r="H94" s="6" t="s">
        <v>2658</v>
      </c>
      <c r="I94" s="6">
        <v>1</v>
      </c>
      <c r="J94" s="6">
        <v>3</v>
      </c>
      <c r="K94" s="6">
        <v>0</v>
      </c>
    </row>
    <row r="95" spans="1:11" ht="38.25" x14ac:dyDescent="0.2">
      <c r="A95" s="11" t="s">
        <v>1350</v>
      </c>
      <c r="B95" s="14" t="s">
        <v>1469</v>
      </c>
      <c r="C95" s="13" t="s">
        <v>1028</v>
      </c>
      <c r="D95" s="6" t="s">
        <v>2203</v>
      </c>
      <c r="E95" s="6" t="s">
        <v>553</v>
      </c>
      <c r="F95" s="6" t="s">
        <v>550</v>
      </c>
      <c r="G95" s="6" t="s">
        <v>552</v>
      </c>
      <c r="H95" s="6" t="s">
        <v>2658</v>
      </c>
      <c r="I95" s="6">
        <v>1</v>
      </c>
      <c r="J95" s="6">
        <v>3</v>
      </c>
      <c r="K95" s="6">
        <v>0</v>
      </c>
    </row>
    <row r="96" spans="1:11" ht="38.25" x14ac:dyDescent="0.2">
      <c r="A96" s="6" t="s">
        <v>1351</v>
      </c>
      <c r="B96" s="6" t="s">
        <v>1470</v>
      </c>
      <c r="C96" s="6" t="s">
        <v>1028</v>
      </c>
      <c r="D96" s="6" t="s">
        <v>2204</v>
      </c>
      <c r="E96" s="6" t="s">
        <v>553</v>
      </c>
      <c r="F96" s="6" t="s">
        <v>550</v>
      </c>
      <c r="G96" s="6" t="s">
        <v>552</v>
      </c>
      <c r="H96" s="6" t="s">
        <v>2658</v>
      </c>
      <c r="I96" s="6">
        <v>1</v>
      </c>
      <c r="J96" s="6">
        <v>3</v>
      </c>
      <c r="K96" s="6">
        <v>0</v>
      </c>
    </row>
    <row r="97" spans="1:11" ht="25.5" x14ac:dyDescent="0.2">
      <c r="A97" s="6" t="s">
        <v>1314</v>
      </c>
      <c r="B97" s="6" t="s">
        <v>1433</v>
      </c>
      <c r="C97" s="6" t="s">
        <v>1028</v>
      </c>
      <c r="D97" s="6" t="s">
        <v>2159</v>
      </c>
      <c r="E97" s="6" t="s">
        <v>553</v>
      </c>
      <c r="F97" s="6" t="s">
        <v>550</v>
      </c>
      <c r="G97" s="6" t="s">
        <v>552</v>
      </c>
      <c r="H97" s="6" t="s">
        <v>2659</v>
      </c>
      <c r="I97" s="6">
        <v>1</v>
      </c>
      <c r="J97" s="6">
        <v>2</v>
      </c>
      <c r="K97" s="6">
        <v>0</v>
      </c>
    </row>
    <row r="98" spans="1:11" ht="25.5" x14ac:dyDescent="0.2">
      <c r="A98" s="12" t="s">
        <v>1257</v>
      </c>
      <c r="B98" s="6" t="s">
        <v>1640</v>
      </c>
      <c r="C98" s="6" t="s">
        <v>1028</v>
      </c>
      <c r="D98" s="6" t="s">
        <v>2080</v>
      </c>
      <c r="E98" s="6" t="s">
        <v>553</v>
      </c>
      <c r="F98" s="6" t="s">
        <v>550</v>
      </c>
      <c r="G98" s="6" t="s">
        <v>552</v>
      </c>
      <c r="H98" s="6" t="s">
        <v>2604</v>
      </c>
      <c r="I98" s="6">
        <v>1</v>
      </c>
      <c r="J98" s="6">
        <v>2</v>
      </c>
      <c r="K98" s="6">
        <v>0</v>
      </c>
    </row>
    <row r="99" spans="1:11" ht="25.5" x14ac:dyDescent="0.2">
      <c r="A99" s="11" t="s">
        <v>1315</v>
      </c>
      <c r="B99" s="13" t="s">
        <v>1434</v>
      </c>
      <c r="C99" s="13" t="s">
        <v>1028</v>
      </c>
      <c r="D99" s="6" t="s">
        <v>2160</v>
      </c>
      <c r="E99" s="6" t="s">
        <v>553</v>
      </c>
      <c r="F99" s="6" t="s">
        <v>550</v>
      </c>
      <c r="G99" s="6" t="s">
        <v>552</v>
      </c>
      <c r="H99" s="6" t="s">
        <v>2660</v>
      </c>
      <c r="I99" s="6">
        <v>1</v>
      </c>
      <c r="J99" s="6">
        <v>2</v>
      </c>
      <c r="K99" s="6">
        <v>0</v>
      </c>
    </row>
    <row r="100" spans="1:11" ht="25.5" x14ac:dyDescent="0.2">
      <c r="A100" s="7" t="s">
        <v>1316</v>
      </c>
      <c r="B100" s="6" t="s">
        <v>1435</v>
      </c>
      <c r="C100" s="6" t="s">
        <v>1028</v>
      </c>
      <c r="D100" s="6" t="s">
        <v>2161</v>
      </c>
      <c r="E100" s="6" t="s">
        <v>553</v>
      </c>
      <c r="F100" s="6" t="s">
        <v>550</v>
      </c>
      <c r="G100" s="6" t="s">
        <v>552</v>
      </c>
      <c r="H100" s="6" t="s">
        <v>2384</v>
      </c>
      <c r="I100" s="6">
        <v>1</v>
      </c>
      <c r="J100" s="6">
        <v>3</v>
      </c>
      <c r="K100" s="6">
        <v>0</v>
      </c>
    </row>
    <row r="101" spans="1:11" ht="38.25" x14ac:dyDescent="0.2">
      <c r="A101" s="8" t="s">
        <v>1317</v>
      </c>
      <c r="B101" s="6" t="s">
        <v>1436</v>
      </c>
      <c r="C101" s="6" t="s">
        <v>1028</v>
      </c>
      <c r="D101" s="6" t="s">
        <v>2162</v>
      </c>
      <c r="E101" s="6" t="s">
        <v>553</v>
      </c>
      <c r="F101" s="6" t="s">
        <v>550</v>
      </c>
      <c r="G101" s="6" t="s">
        <v>552</v>
      </c>
      <c r="H101" s="6" t="s">
        <v>2661</v>
      </c>
      <c r="I101" s="6">
        <v>1</v>
      </c>
      <c r="J101" s="6">
        <v>3</v>
      </c>
      <c r="K101" s="6">
        <v>0</v>
      </c>
    </row>
    <row r="102" spans="1:11" ht="25.5" x14ac:dyDescent="0.2">
      <c r="A102" s="11" t="s">
        <v>4401</v>
      </c>
      <c r="B102" s="6" t="s">
        <v>4413</v>
      </c>
      <c r="C102" s="6" t="s">
        <v>1028</v>
      </c>
      <c r="D102" s="6" t="s">
        <v>4402</v>
      </c>
      <c r="E102" s="6" t="s">
        <v>553</v>
      </c>
      <c r="F102" s="6" t="s">
        <v>550</v>
      </c>
      <c r="G102" s="6" t="s">
        <v>552</v>
      </c>
      <c r="H102" s="6" t="s">
        <v>4414</v>
      </c>
      <c r="I102" s="6">
        <v>1</v>
      </c>
      <c r="J102" s="6">
        <v>2</v>
      </c>
      <c r="K102" s="6">
        <v>0</v>
      </c>
    </row>
    <row r="103" spans="1:11" ht="38.25" x14ac:dyDescent="0.2">
      <c r="A103" s="11" t="s">
        <v>1506</v>
      </c>
      <c r="B103" s="14" t="s">
        <v>1626</v>
      </c>
      <c r="C103" s="6" t="s">
        <v>1028</v>
      </c>
      <c r="D103" s="6" t="s">
        <v>2065</v>
      </c>
      <c r="E103" s="6" t="s">
        <v>553</v>
      </c>
      <c r="F103" s="6" t="s">
        <v>550</v>
      </c>
      <c r="G103" s="6" t="s">
        <v>552</v>
      </c>
      <c r="H103" s="6" t="s">
        <v>2591</v>
      </c>
      <c r="I103" s="6">
        <v>1</v>
      </c>
      <c r="J103" s="6">
        <v>2</v>
      </c>
      <c r="K103" s="6">
        <v>0</v>
      </c>
    </row>
    <row r="104" spans="1:11" ht="25.5" x14ac:dyDescent="0.2">
      <c r="A104" s="11" t="s">
        <v>1532</v>
      </c>
      <c r="B104" s="6" t="s">
        <v>1414</v>
      </c>
      <c r="C104" s="6" t="s">
        <v>1028</v>
      </c>
      <c r="D104" s="6" t="s">
        <v>2139</v>
      </c>
      <c r="E104" s="6" t="s">
        <v>553</v>
      </c>
      <c r="F104" s="6" t="s">
        <v>550</v>
      </c>
      <c r="G104" s="6" t="s">
        <v>552</v>
      </c>
      <c r="H104" s="6" t="s">
        <v>2645</v>
      </c>
      <c r="I104" s="6">
        <v>1</v>
      </c>
      <c r="J104" s="6">
        <v>2</v>
      </c>
      <c r="K104" s="6">
        <v>0</v>
      </c>
    </row>
    <row r="105" spans="1:11" ht="38.25" x14ac:dyDescent="0.2">
      <c r="A105" s="11" t="s">
        <v>1258</v>
      </c>
      <c r="B105" s="6" t="s">
        <v>1641</v>
      </c>
      <c r="C105" s="6" t="s">
        <v>1028</v>
      </c>
      <c r="D105" s="6" t="s">
        <v>2081</v>
      </c>
      <c r="E105" s="6" t="s">
        <v>553</v>
      </c>
      <c r="F105" s="6" t="s">
        <v>550</v>
      </c>
      <c r="G105" s="6" t="s">
        <v>552</v>
      </c>
      <c r="H105" s="6" t="s">
        <v>2605</v>
      </c>
      <c r="I105" s="6">
        <v>1</v>
      </c>
      <c r="J105" s="6">
        <v>6</v>
      </c>
      <c r="K105" s="6">
        <v>0</v>
      </c>
    </row>
    <row r="106" spans="1:11" ht="25.5" x14ac:dyDescent="0.2">
      <c r="A106" s="11" t="s">
        <v>4053</v>
      </c>
      <c r="B106" s="6" t="s">
        <v>4104</v>
      </c>
      <c r="C106" s="6" t="s">
        <v>4387</v>
      </c>
      <c r="D106" s="6" t="s">
        <v>4054</v>
      </c>
      <c r="E106" s="6" t="s">
        <v>646</v>
      </c>
      <c r="F106" s="6" t="s">
        <v>550</v>
      </c>
      <c r="G106" s="6" t="s">
        <v>552</v>
      </c>
      <c r="H106" s="6" t="s">
        <v>4062</v>
      </c>
      <c r="I106" s="6">
        <v>1</v>
      </c>
      <c r="J106" s="6">
        <v>7</v>
      </c>
      <c r="K106" s="6">
        <v>0</v>
      </c>
    </row>
    <row r="107" spans="1:11" ht="25.5" x14ac:dyDescent="0.2">
      <c r="A107" s="11" t="s">
        <v>1259</v>
      </c>
      <c r="B107" s="6" t="s">
        <v>1642</v>
      </c>
      <c r="C107" s="6" t="s">
        <v>1028</v>
      </c>
      <c r="D107" s="6" t="s">
        <v>2082</v>
      </c>
      <c r="E107" s="6" t="s">
        <v>553</v>
      </c>
      <c r="F107" s="6" t="s">
        <v>550</v>
      </c>
      <c r="G107" s="6" t="s">
        <v>552</v>
      </c>
      <c r="H107" s="6" t="s">
        <v>2384</v>
      </c>
      <c r="I107" s="6">
        <v>1</v>
      </c>
      <c r="J107" s="6">
        <v>2</v>
      </c>
      <c r="K107" s="6">
        <v>0</v>
      </c>
    </row>
    <row r="108" spans="1:11" ht="25.5" x14ac:dyDescent="0.2">
      <c r="A108" s="7" t="s">
        <v>2917</v>
      </c>
      <c r="B108" s="6" t="s">
        <v>2933</v>
      </c>
      <c r="C108" s="13" t="s">
        <v>1028</v>
      </c>
      <c r="D108" s="6" t="s">
        <v>2918</v>
      </c>
      <c r="E108" s="6" t="s">
        <v>553</v>
      </c>
      <c r="F108" s="6" t="s">
        <v>550</v>
      </c>
      <c r="G108" s="6" t="s">
        <v>552</v>
      </c>
      <c r="H108" s="6" t="s">
        <v>2934</v>
      </c>
      <c r="I108" s="6">
        <v>1</v>
      </c>
      <c r="J108" s="6">
        <v>2</v>
      </c>
      <c r="K108" s="6">
        <v>0</v>
      </c>
    </row>
    <row r="109" spans="1:11" ht="25.5" x14ac:dyDescent="0.2">
      <c r="A109" s="9" t="s">
        <v>1260</v>
      </c>
      <c r="B109" s="6" t="s">
        <v>1643</v>
      </c>
      <c r="C109" s="6" t="s">
        <v>1028</v>
      </c>
      <c r="D109" s="6" t="s">
        <v>2083</v>
      </c>
      <c r="E109" s="6" t="s">
        <v>553</v>
      </c>
      <c r="F109" s="6" t="s">
        <v>550</v>
      </c>
      <c r="G109" s="6" t="s">
        <v>552</v>
      </c>
      <c r="H109" s="6" t="s">
        <v>2606</v>
      </c>
      <c r="I109" s="6">
        <v>1</v>
      </c>
      <c r="J109" s="6">
        <v>2</v>
      </c>
      <c r="K109" s="6">
        <v>0</v>
      </c>
    </row>
    <row r="110" spans="1:11" ht="38.25" x14ac:dyDescent="0.2">
      <c r="A110" s="11" t="s">
        <v>1318</v>
      </c>
      <c r="B110" s="14" t="s">
        <v>1437</v>
      </c>
      <c r="C110" s="6" t="s">
        <v>1028</v>
      </c>
      <c r="D110" s="6" t="s">
        <v>2163</v>
      </c>
      <c r="E110" s="6" t="s">
        <v>553</v>
      </c>
      <c r="F110" s="6" t="s">
        <v>550</v>
      </c>
      <c r="G110" s="6" t="s">
        <v>552</v>
      </c>
      <c r="H110" s="6" t="s">
        <v>2662</v>
      </c>
      <c r="I110" s="6">
        <v>1</v>
      </c>
      <c r="J110" s="6">
        <v>3</v>
      </c>
      <c r="K110" s="6">
        <v>0</v>
      </c>
    </row>
    <row r="111" spans="1:11" ht="25.5" x14ac:dyDescent="0.2">
      <c r="A111" s="11" t="s">
        <v>1507</v>
      </c>
      <c r="B111" s="6" t="s">
        <v>1627</v>
      </c>
      <c r="C111" s="6" t="s">
        <v>1028</v>
      </c>
      <c r="D111" s="6" t="s">
        <v>2066</v>
      </c>
      <c r="E111" s="6" t="s">
        <v>553</v>
      </c>
      <c r="F111" s="6" t="s">
        <v>550</v>
      </c>
      <c r="G111" s="6" t="s">
        <v>552</v>
      </c>
      <c r="H111" s="14" t="s">
        <v>2593</v>
      </c>
      <c r="I111" s="6">
        <v>1</v>
      </c>
      <c r="J111" s="6">
        <v>2</v>
      </c>
      <c r="K111" s="6">
        <v>0</v>
      </c>
    </row>
    <row r="112" spans="1:11" ht="25.5" x14ac:dyDescent="0.2">
      <c r="A112" s="11" t="s">
        <v>1514</v>
      </c>
      <c r="B112" s="6" t="s">
        <v>1644</v>
      </c>
      <c r="C112" s="6" t="s">
        <v>1028</v>
      </c>
      <c r="D112" s="6" t="s">
        <v>2084</v>
      </c>
      <c r="E112" s="6" t="s">
        <v>553</v>
      </c>
      <c r="F112" s="6" t="s">
        <v>550</v>
      </c>
      <c r="G112" s="6" t="s">
        <v>552</v>
      </c>
      <c r="H112" s="6" t="s">
        <v>2607</v>
      </c>
      <c r="I112" s="6">
        <v>1</v>
      </c>
      <c r="J112" s="6">
        <v>3</v>
      </c>
      <c r="K112" s="6">
        <v>0</v>
      </c>
    </row>
    <row r="113" spans="1:11" ht="38.25" x14ac:dyDescent="0.2">
      <c r="A113" s="8" t="s">
        <v>1319</v>
      </c>
      <c r="B113" s="14" t="s">
        <v>1438</v>
      </c>
      <c r="C113" s="6" t="s">
        <v>1028</v>
      </c>
      <c r="D113" s="6" t="s">
        <v>2164</v>
      </c>
      <c r="E113" s="6" t="s">
        <v>553</v>
      </c>
      <c r="F113" s="6" t="s">
        <v>550</v>
      </c>
      <c r="G113" s="6" t="s">
        <v>552</v>
      </c>
      <c r="H113" s="6" t="s">
        <v>2663</v>
      </c>
      <c r="I113" s="6">
        <v>1</v>
      </c>
      <c r="J113" s="6">
        <v>4</v>
      </c>
      <c r="K113" s="6">
        <v>0</v>
      </c>
    </row>
    <row r="114" spans="1:11" ht="25.5" x14ac:dyDescent="0.2">
      <c r="A114" s="11" t="s">
        <v>1261</v>
      </c>
      <c r="B114" s="6" t="s">
        <v>1645</v>
      </c>
      <c r="C114" s="6" t="s">
        <v>1028</v>
      </c>
      <c r="D114" s="6" t="s">
        <v>2085</v>
      </c>
      <c r="E114" s="6" t="s">
        <v>553</v>
      </c>
      <c r="F114" s="6" t="s">
        <v>550</v>
      </c>
      <c r="G114" s="6" t="s">
        <v>552</v>
      </c>
      <c r="H114" s="6" t="s">
        <v>2608</v>
      </c>
      <c r="I114" s="6">
        <v>1</v>
      </c>
      <c r="J114" s="6">
        <v>3</v>
      </c>
      <c r="K114" s="6">
        <v>0</v>
      </c>
    </row>
    <row r="115" spans="1:11" ht="38.25" x14ac:dyDescent="0.2">
      <c r="A115" s="11" t="s">
        <v>1320</v>
      </c>
      <c r="B115" s="6" t="s">
        <v>1439</v>
      </c>
      <c r="C115" s="6" t="s">
        <v>1028</v>
      </c>
      <c r="D115" s="6" t="s">
        <v>2165</v>
      </c>
      <c r="E115" s="6" t="s">
        <v>553</v>
      </c>
      <c r="F115" s="6" t="s">
        <v>550</v>
      </c>
      <c r="G115" s="6" t="s">
        <v>552</v>
      </c>
      <c r="H115" s="6" t="s">
        <v>2664</v>
      </c>
      <c r="I115" s="6">
        <v>1</v>
      </c>
      <c r="J115" s="6">
        <v>2</v>
      </c>
      <c r="K115" s="6">
        <v>0</v>
      </c>
    </row>
    <row r="116" spans="1:11" ht="38.25" x14ac:dyDescent="0.2">
      <c r="A116" s="6" t="s">
        <v>4046</v>
      </c>
      <c r="B116" s="6" t="s">
        <v>4097</v>
      </c>
      <c r="C116" s="6" t="s">
        <v>1028</v>
      </c>
      <c r="D116" s="6" t="s">
        <v>4047</v>
      </c>
      <c r="E116" s="6" t="s">
        <v>553</v>
      </c>
      <c r="F116" s="6" t="s">
        <v>550</v>
      </c>
      <c r="G116" s="6" t="s">
        <v>552</v>
      </c>
      <c r="H116" s="6" t="s">
        <v>4098</v>
      </c>
      <c r="I116" s="6">
        <v>1</v>
      </c>
      <c r="J116" s="6">
        <v>2</v>
      </c>
      <c r="K116" s="6">
        <v>0</v>
      </c>
    </row>
    <row r="117" spans="1:11" ht="25.5" x14ac:dyDescent="0.2">
      <c r="A117" s="11" t="s">
        <v>2919</v>
      </c>
      <c r="B117" s="6" t="s">
        <v>2938</v>
      </c>
      <c r="C117" s="6" t="s">
        <v>1028</v>
      </c>
      <c r="D117" s="6" t="s">
        <v>2920</v>
      </c>
      <c r="E117" s="6" t="s">
        <v>553</v>
      </c>
      <c r="F117" s="6" t="s">
        <v>550</v>
      </c>
      <c r="G117" s="6" t="s">
        <v>552</v>
      </c>
      <c r="H117" s="6" t="s">
        <v>2939</v>
      </c>
      <c r="I117" s="6">
        <v>1</v>
      </c>
      <c r="J117" s="6">
        <v>2</v>
      </c>
      <c r="K117" s="6">
        <v>0</v>
      </c>
    </row>
    <row r="118" spans="1:11" ht="25.5" x14ac:dyDescent="0.2">
      <c r="A118" s="9" t="s">
        <v>4048</v>
      </c>
      <c r="B118" s="6" t="s">
        <v>4099</v>
      </c>
      <c r="C118" s="6" t="s">
        <v>1028</v>
      </c>
      <c r="D118" s="6" t="s">
        <v>4049</v>
      </c>
      <c r="E118" s="6" t="s">
        <v>553</v>
      </c>
      <c r="F118" s="6" t="s">
        <v>550</v>
      </c>
      <c r="G118" s="6" t="s">
        <v>552</v>
      </c>
      <c r="H118" s="6" t="s">
        <v>4100</v>
      </c>
      <c r="I118" s="6">
        <v>1</v>
      </c>
      <c r="J118" s="6">
        <v>2</v>
      </c>
      <c r="K118" s="6">
        <v>0</v>
      </c>
    </row>
    <row r="119" spans="1:11" ht="25.5" x14ac:dyDescent="0.2">
      <c r="A119" s="12" t="s">
        <v>1903</v>
      </c>
      <c r="B119" s="6" t="s">
        <v>1907</v>
      </c>
      <c r="C119" s="13" t="s">
        <v>1028</v>
      </c>
      <c r="D119" s="6" t="s">
        <v>2086</v>
      </c>
      <c r="E119" s="6" t="s">
        <v>553</v>
      </c>
      <c r="F119" s="6" t="s">
        <v>550</v>
      </c>
      <c r="G119" s="6" t="s">
        <v>552</v>
      </c>
      <c r="H119" s="6" t="s">
        <v>2609</v>
      </c>
      <c r="I119" s="6">
        <v>1</v>
      </c>
      <c r="J119" s="6">
        <v>2</v>
      </c>
      <c r="K119" s="6">
        <v>0</v>
      </c>
    </row>
    <row r="120" spans="1:11" ht="25.5" x14ac:dyDescent="0.2">
      <c r="A120" s="11" t="s">
        <v>1904</v>
      </c>
      <c r="B120" s="6" t="s">
        <v>1907</v>
      </c>
      <c r="C120" s="6" t="s">
        <v>1028</v>
      </c>
      <c r="D120" s="6" t="s">
        <v>2087</v>
      </c>
      <c r="E120" s="6" t="s">
        <v>553</v>
      </c>
      <c r="F120" s="6" t="s">
        <v>550</v>
      </c>
      <c r="G120" s="6" t="s">
        <v>552</v>
      </c>
      <c r="H120" s="6" t="s">
        <v>2609</v>
      </c>
      <c r="I120" s="6">
        <v>1</v>
      </c>
      <c r="J120" s="6">
        <v>2</v>
      </c>
      <c r="K120" s="6">
        <v>0</v>
      </c>
    </row>
    <row r="121" spans="1:11" ht="25.5" x14ac:dyDescent="0.2">
      <c r="A121" s="11" t="s">
        <v>1918</v>
      </c>
      <c r="B121" s="6" t="s">
        <v>1907</v>
      </c>
      <c r="C121" s="6" t="s">
        <v>1028</v>
      </c>
      <c r="D121" s="6" t="s">
        <v>2088</v>
      </c>
      <c r="E121" s="6" t="s">
        <v>553</v>
      </c>
      <c r="F121" s="6" t="s">
        <v>550</v>
      </c>
      <c r="G121" s="6" t="s">
        <v>552</v>
      </c>
      <c r="H121" s="6" t="s">
        <v>2609</v>
      </c>
      <c r="I121" s="6">
        <v>1</v>
      </c>
      <c r="J121" s="6">
        <v>2</v>
      </c>
      <c r="K121" s="6">
        <v>0</v>
      </c>
    </row>
    <row r="122" spans="1:11" ht="51" x14ac:dyDescent="0.2">
      <c r="A122" s="6" t="s">
        <v>1321</v>
      </c>
      <c r="B122" s="6" t="s">
        <v>1440</v>
      </c>
      <c r="C122" s="6" t="s">
        <v>1028</v>
      </c>
      <c r="D122" s="6" t="s">
        <v>2166</v>
      </c>
      <c r="E122" s="6" t="s">
        <v>553</v>
      </c>
      <c r="F122" s="6" t="s">
        <v>550</v>
      </c>
      <c r="G122" s="6" t="s">
        <v>552</v>
      </c>
      <c r="H122" s="6" t="s">
        <v>2665</v>
      </c>
      <c r="I122" s="6">
        <v>1</v>
      </c>
      <c r="J122" s="6">
        <v>3</v>
      </c>
      <c r="K122" s="6">
        <v>0</v>
      </c>
    </row>
    <row r="123" spans="1:11" ht="25.5" x14ac:dyDescent="0.2">
      <c r="A123" s="6" t="s">
        <v>1262</v>
      </c>
      <c r="B123" s="6" t="s">
        <v>1646</v>
      </c>
      <c r="C123" s="6" t="s">
        <v>1028</v>
      </c>
      <c r="D123" s="6" t="s">
        <v>2089</v>
      </c>
      <c r="E123" s="6" t="s">
        <v>553</v>
      </c>
      <c r="F123" s="6" t="s">
        <v>550</v>
      </c>
      <c r="G123" s="6" t="s">
        <v>552</v>
      </c>
      <c r="H123" s="6" t="s">
        <v>2611</v>
      </c>
      <c r="I123" s="6">
        <v>1</v>
      </c>
      <c r="J123" s="6">
        <v>2</v>
      </c>
      <c r="K123" s="6">
        <v>0</v>
      </c>
    </row>
    <row r="124" spans="1:11" ht="25.5" x14ac:dyDescent="0.2">
      <c r="A124" s="9" t="s">
        <v>1322</v>
      </c>
      <c r="B124" s="6" t="s">
        <v>1441</v>
      </c>
      <c r="C124" s="13" t="s">
        <v>1028</v>
      </c>
      <c r="D124" s="6" t="s">
        <v>2167</v>
      </c>
      <c r="E124" s="6" t="s">
        <v>553</v>
      </c>
      <c r="F124" s="6" t="s">
        <v>550</v>
      </c>
      <c r="G124" s="6" t="s">
        <v>552</v>
      </c>
      <c r="H124" s="6" t="s">
        <v>2633</v>
      </c>
      <c r="I124" s="6">
        <v>1</v>
      </c>
      <c r="J124" s="6">
        <v>2</v>
      </c>
      <c r="K124" s="6">
        <v>0</v>
      </c>
    </row>
    <row r="125" spans="1:11" x14ac:dyDescent="0.2">
      <c r="A125" s="11" t="s">
        <v>1323</v>
      </c>
      <c r="B125" s="6" t="s">
        <v>1442</v>
      </c>
      <c r="C125" s="6" t="s">
        <v>1028</v>
      </c>
      <c r="D125" s="6" t="s">
        <v>2168</v>
      </c>
      <c r="E125" s="6" t="s">
        <v>553</v>
      </c>
      <c r="F125" s="6" t="s">
        <v>550</v>
      </c>
      <c r="G125" s="6" t="s">
        <v>552</v>
      </c>
      <c r="H125" s="6" t="s">
        <v>2384</v>
      </c>
      <c r="I125" s="6">
        <v>1</v>
      </c>
      <c r="J125" s="6">
        <v>3</v>
      </c>
      <c r="K125" s="6">
        <v>0</v>
      </c>
    </row>
    <row r="126" spans="1:11" ht="25.5" x14ac:dyDescent="0.2">
      <c r="A126" s="6" t="s">
        <v>1324</v>
      </c>
      <c r="B126" s="6" t="s">
        <v>1443</v>
      </c>
      <c r="C126" s="6" t="s">
        <v>1028</v>
      </c>
      <c r="D126" s="6" t="s">
        <v>2170</v>
      </c>
      <c r="E126" s="6" t="s">
        <v>553</v>
      </c>
      <c r="F126" s="6" t="s">
        <v>550</v>
      </c>
      <c r="G126" s="6" t="s">
        <v>552</v>
      </c>
      <c r="H126" s="6" t="s">
        <v>2612</v>
      </c>
      <c r="I126" s="6">
        <v>1</v>
      </c>
      <c r="J126" s="6">
        <v>2</v>
      </c>
      <c r="K126" s="6">
        <v>0</v>
      </c>
    </row>
    <row r="127" spans="1:11" ht="25.5" x14ac:dyDescent="0.2">
      <c r="A127" s="7" t="s">
        <v>1515</v>
      </c>
      <c r="B127" s="6" t="s">
        <v>1647</v>
      </c>
      <c r="C127" s="6" t="s">
        <v>1028</v>
      </c>
      <c r="D127" s="6" t="s">
        <v>2090</v>
      </c>
      <c r="E127" s="6" t="s">
        <v>553</v>
      </c>
      <c r="F127" s="6" t="s">
        <v>550</v>
      </c>
      <c r="G127" s="6" t="s">
        <v>552</v>
      </c>
      <c r="H127" s="6" t="s">
        <v>2612</v>
      </c>
      <c r="I127" s="6">
        <v>1</v>
      </c>
      <c r="J127" s="6">
        <v>2</v>
      </c>
      <c r="K127" s="6">
        <v>0</v>
      </c>
    </row>
    <row r="128" spans="1:11" ht="25.5" x14ac:dyDescent="0.2">
      <c r="A128" s="11" t="s">
        <v>1516</v>
      </c>
      <c r="B128" s="6" t="s">
        <v>1648</v>
      </c>
      <c r="C128" s="6" t="s">
        <v>1028</v>
      </c>
      <c r="D128" s="6" t="s">
        <v>2091</v>
      </c>
      <c r="E128" s="6" t="s">
        <v>553</v>
      </c>
      <c r="F128" s="6" t="s">
        <v>550</v>
      </c>
      <c r="G128" s="6" t="s">
        <v>552</v>
      </c>
      <c r="H128" s="6" t="s">
        <v>2612</v>
      </c>
      <c r="I128" s="6">
        <v>1</v>
      </c>
      <c r="J128" s="6">
        <v>2</v>
      </c>
      <c r="K128" s="6">
        <v>0</v>
      </c>
    </row>
    <row r="129" spans="1:11" ht="25.5" x14ac:dyDescent="0.2">
      <c r="A129" s="11" t="s">
        <v>1325</v>
      </c>
      <c r="B129" s="6" t="s">
        <v>1444</v>
      </c>
      <c r="C129" s="6" t="s">
        <v>1028</v>
      </c>
      <c r="D129" s="6" t="s">
        <v>2171</v>
      </c>
      <c r="E129" s="6" t="s">
        <v>553</v>
      </c>
      <c r="F129" s="6" t="s">
        <v>550</v>
      </c>
      <c r="G129" s="6" t="s">
        <v>552</v>
      </c>
      <c r="H129" s="6" t="s">
        <v>2612</v>
      </c>
      <c r="I129" s="6">
        <v>1</v>
      </c>
      <c r="J129" s="6">
        <v>2</v>
      </c>
      <c r="K129" s="6">
        <v>0</v>
      </c>
    </row>
    <row r="130" spans="1:11" ht="25.5" x14ac:dyDescent="0.2">
      <c r="A130" s="11" t="s">
        <v>1326</v>
      </c>
      <c r="B130" s="6" t="s">
        <v>1445</v>
      </c>
      <c r="C130" s="13" t="s">
        <v>1028</v>
      </c>
      <c r="D130" s="6" t="s">
        <v>2172</v>
      </c>
      <c r="E130" s="6" t="s">
        <v>553</v>
      </c>
      <c r="F130" s="6" t="s">
        <v>550</v>
      </c>
      <c r="G130" s="6" t="s">
        <v>552</v>
      </c>
      <c r="H130" s="6" t="s">
        <v>2612</v>
      </c>
      <c r="I130" s="6">
        <v>1</v>
      </c>
      <c r="J130" s="6">
        <v>2</v>
      </c>
      <c r="K130" s="6">
        <v>0</v>
      </c>
    </row>
    <row r="131" spans="1:11" ht="25.5" x14ac:dyDescent="0.2">
      <c r="A131" s="11" t="s">
        <v>1327</v>
      </c>
      <c r="B131" s="6" t="s">
        <v>1446</v>
      </c>
      <c r="C131" s="6" t="s">
        <v>1028</v>
      </c>
      <c r="D131" s="6" t="s">
        <v>2169</v>
      </c>
      <c r="E131" s="6" t="s">
        <v>553</v>
      </c>
      <c r="F131" s="6" t="s">
        <v>550</v>
      </c>
      <c r="G131" s="6" t="s">
        <v>552</v>
      </c>
      <c r="H131" s="6" t="s">
        <v>2612</v>
      </c>
      <c r="I131" s="6">
        <v>1</v>
      </c>
      <c r="J131" s="6">
        <v>2</v>
      </c>
      <c r="K131" s="6">
        <v>0</v>
      </c>
    </row>
    <row r="132" spans="1:11" ht="25.5" x14ac:dyDescent="0.2">
      <c r="A132" s="11" t="s">
        <v>1517</v>
      </c>
      <c r="B132" s="13" t="s">
        <v>1649</v>
      </c>
      <c r="C132" s="6" t="s">
        <v>1028</v>
      </c>
      <c r="D132" s="6" t="s">
        <v>2092</v>
      </c>
      <c r="E132" s="6" t="s">
        <v>553</v>
      </c>
      <c r="F132" s="6" t="s">
        <v>550</v>
      </c>
      <c r="G132" s="6" t="s">
        <v>552</v>
      </c>
      <c r="H132" s="14" t="s">
        <v>2612</v>
      </c>
      <c r="I132" s="6">
        <v>1</v>
      </c>
      <c r="J132" s="6">
        <v>2</v>
      </c>
      <c r="K132" s="6">
        <v>0</v>
      </c>
    </row>
    <row r="133" spans="1:11" ht="25.5" x14ac:dyDescent="0.2">
      <c r="A133" s="12" t="s">
        <v>1518</v>
      </c>
      <c r="B133" s="6" t="s">
        <v>1650</v>
      </c>
      <c r="C133" s="6" t="s">
        <v>1028</v>
      </c>
      <c r="D133" s="6" t="s">
        <v>2093</v>
      </c>
      <c r="E133" s="6" t="s">
        <v>553</v>
      </c>
      <c r="F133" s="6" t="s">
        <v>550</v>
      </c>
      <c r="G133" s="6" t="s">
        <v>552</v>
      </c>
      <c r="H133" s="6" t="s">
        <v>2612</v>
      </c>
      <c r="I133" s="6">
        <v>1</v>
      </c>
      <c r="J133" s="6">
        <v>2</v>
      </c>
      <c r="K133" s="6">
        <v>0</v>
      </c>
    </row>
    <row r="134" spans="1:11" ht="25.5" x14ac:dyDescent="0.2">
      <c r="A134" s="11" t="s">
        <v>1263</v>
      </c>
      <c r="B134" s="6" t="s">
        <v>1651</v>
      </c>
      <c r="C134" s="6" t="s">
        <v>1028</v>
      </c>
      <c r="D134" s="6" t="s">
        <v>2094</v>
      </c>
      <c r="E134" s="6" t="s">
        <v>553</v>
      </c>
      <c r="F134" s="6" t="s">
        <v>550</v>
      </c>
      <c r="G134" s="6" t="s">
        <v>552</v>
      </c>
      <c r="H134" s="6" t="s">
        <v>2613</v>
      </c>
      <c r="I134" s="6">
        <v>1</v>
      </c>
      <c r="J134" s="6">
        <v>2</v>
      </c>
      <c r="K134" s="6">
        <v>0</v>
      </c>
    </row>
    <row r="135" spans="1:11" ht="25.5" x14ac:dyDescent="0.2">
      <c r="A135" s="8" t="s">
        <v>2879</v>
      </c>
      <c r="B135" s="6" t="s">
        <v>2889</v>
      </c>
      <c r="C135" s="6" t="s">
        <v>1028</v>
      </c>
      <c r="D135" s="6" t="s">
        <v>2880</v>
      </c>
      <c r="E135" s="6" t="s">
        <v>553</v>
      </c>
      <c r="F135" s="6" t="s">
        <v>550</v>
      </c>
      <c r="G135" s="6" t="s">
        <v>552</v>
      </c>
      <c r="H135" s="6" t="s">
        <v>2888</v>
      </c>
      <c r="I135" s="6">
        <v>1</v>
      </c>
      <c r="J135" s="6">
        <v>2</v>
      </c>
      <c r="K135" s="6">
        <v>0</v>
      </c>
    </row>
    <row r="136" spans="1:11" ht="25.5" x14ac:dyDescent="0.2">
      <c r="A136" s="12" t="s">
        <v>1264</v>
      </c>
      <c r="B136" s="6" t="s">
        <v>1652</v>
      </c>
      <c r="C136" s="6" t="s">
        <v>1028</v>
      </c>
      <c r="D136" s="6" t="s">
        <v>2095</v>
      </c>
      <c r="E136" s="6" t="s">
        <v>553</v>
      </c>
      <c r="F136" s="6" t="s">
        <v>550</v>
      </c>
      <c r="G136" s="6" t="s">
        <v>552</v>
      </c>
      <c r="H136" s="6" t="s">
        <v>2613</v>
      </c>
      <c r="I136" s="6">
        <v>1</v>
      </c>
      <c r="J136" s="6">
        <v>2</v>
      </c>
      <c r="K136" s="6">
        <v>0</v>
      </c>
    </row>
    <row r="137" spans="1:11" ht="25.5" x14ac:dyDescent="0.2">
      <c r="A137" s="11" t="s">
        <v>1265</v>
      </c>
      <c r="B137" s="6" t="s">
        <v>1653</v>
      </c>
      <c r="C137" s="6" t="s">
        <v>1028</v>
      </c>
      <c r="D137" s="6" t="s">
        <v>2096</v>
      </c>
      <c r="E137" s="6" t="s">
        <v>553</v>
      </c>
      <c r="F137" s="6" t="s">
        <v>550</v>
      </c>
      <c r="G137" s="6" t="s">
        <v>552</v>
      </c>
      <c r="H137" s="6" t="s">
        <v>2613</v>
      </c>
      <c r="I137" s="6">
        <v>1</v>
      </c>
      <c r="J137" s="6">
        <v>2</v>
      </c>
      <c r="K137" s="6">
        <v>0</v>
      </c>
    </row>
    <row r="138" spans="1:11" ht="38.25" x14ac:dyDescent="0.2">
      <c r="A138" s="11" t="s">
        <v>1328</v>
      </c>
      <c r="B138" s="6" t="s">
        <v>1447</v>
      </c>
      <c r="C138" s="6" t="s">
        <v>1028</v>
      </c>
      <c r="D138" s="6" t="s">
        <v>2173</v>
      </c>
      <c r="E138" s="6" t="s">
        <v>553</v>
      </c>
      <c r="F138" s="6" t="s">
        <v>550</v>
      </c>
      <c r="G138" s="6" t="s">
        <v>552</v>
      </c>
      <c r="H138" s="6" t="s">
        <v>2667</v>
      </c>
      <c r="I138" s="6">
        <v>1</v>
      </c>
      <c r="J138" s="6">
        <v>2</v>
      </c>
      <c r="K138" s="6">
        <v>0</v>
      </c>
    </row>
    <row r="139" spans="1:11" ht="51" x14ac:dyDescent="0.2">
      <c r="A139" s="9" t="s">
        <v>1519</v>
      </c>
      <c r="B139" s="6" t="s">
        <v>1654</v>
      </c>
      <c r="C139" s="13" t="s">
        <v>1028</v>
      </c>
      <c r="D139" s="6" t="s">
        <v>2097</v>
      </c>
      <c r="E139" s="6" t="s">
        <v>553</v>
      </c>
      <c r="F139" s="6" t="s">
        <v>550</v>
      </c>
      <c r="G139" s="6" t="s">
        <v>552</v>
      </c>
      <c r="H139" s="6" t="s">
        <v>2614</v>
      </c>
      <c r="I139" s="6">
        <v>1</v>
      </c>
      <c r="J139" s="6">
        <v>6</v>
      </c>
      <c r="K139" s="6">
        <v>0</v>
      </c>
    </row>
    <row r="140" spans="1:11" ht="102" x14ac:dyDescent="0.2">
      <c r="A140" s="6" t="s">
        <v>744</v>
      </c>
      <c r="B140" s="6" t="s">
        <v>952</v>
      </c>
      <c r="C140" s="6" t="s">
        <v>4028</v>
      </c>
      <c r="D140" s="6" t="s">
        <v>2260</v>
      </c>
      <c r="E140" s="6" t="s">
        <v>646</v>
      </c>
      <c r="F140" s="6" t="s">
        <v>741</v>
      </c>
      <c r="G140" s="6" t="s">
        <v>552</v>
      </c>
      <c r="H140" s="6" t="s">
        <v>2718</v>
      </c>
      <c r="I140" s="6">
        <v>1</v>
      </c>
      <c r="J140" s="6">
        <v>20</v>
      </c>
      <c r="K140" s="6">
        <v>0</v>
      </c>
    </row>
    <row r="141" spans="1:11" ht="38.25" x14ac:dyDescent="0.2">
      <c r="A141" s="12" t="s">
        <v>1266</v>
      </c>
      <c r="B141" s="6" t="s">
        <v>1655</v>
      </c>
      <c r="C141" s="6" t="s">
        <v>1028</v>
      </c>
      <c r="D141" s="6" t="s">
        <v>2098</v>
      </c>
      <c r="E141" s="6" t="s">
        <v>553</v>
      </c>
      <c r="F141" s="6" t="s">
        <v>550</v>
      </c>
      <c r="G141" s="6" t="s">
        <v>552</v>
      </c>
      <c r="H141" s="6" t="s">
        <v>2615</v>
      </c>
      <c r="I141" s="6">
        <v>1</v>
      </c>
      <c r="J141" s="6">
        <v>5</v>
      </c>
      <c r="K141" s="6">
        <v>0</v>
      </c>
    </row>
    <row r="142" spans="1:11" x14ac:dyDescent="0.2">
      <c r="A142" s="11" t="s">
        <v>1520</v>
      </c>
      <c r="B142" s="6" t="s">
        <v>1656</v>
      </c>
      <c r="C142" s="6" t="s">
        <v>1028</v>
      </c>
      <c r="D142" s="6" t="s">
        <v>2099</v>
      </c>
      <c r="E142" s="6" t="s">
        <v>553</v>
      </c>
      <c r="F142" s="6" t="s">
        <v>550</v>
      </c>
      <c r="G142" s="6" t="s">
        <v>552</v>
      </c>
      <c r="H142" s="6" t="s">
        <v>2216</v>
      </c>
      <c r="I142" s="6">
        <v>1</v>
      </c>
      <c r="J142" s="6">
        <v>1</v>
      </c>
      <c r="K142" s="6">
        <v>0</v>
      </c>
    </row>
    <row r="143" spans="1:11" ht="25.5" x14ac:dyDescent="0.2">
      <c r="A143" s="11" t="s">
        <v>1267</v>
      </c>
      <c r="B143" s="6" t="s">
        <v>1657</v>
      </c>
      <c r="C143" s="6" t="s">
        <v>1028</v>
      </c>
      <c r="D143" s="6" t="s">
        <v>2100</v>
      </c>
      <c r="E143" s="6" t="s">
        <v>553</v>
      </c>
      <c r="F143" s="6" t="s">
        <v>550</v>
      </c>
      <c r="G143" s="6" t="s">
        <v>552</v>
      </c>
      <c r="H143" s="6" t="s">
        <v>2616</v>
      </c>
      <c r="I143" s="6">
        <v>1</v>
      </c>
      <c r="J143" s="6">
        <v>2</v>
      </c>
      <c r="K143" s="6">
        <v>0</v>
      </c>
    </row>
    <row r="144" spans="1:11" ht="38.25" x14ac:dyDescent="0.2">
      <c r="A144" s="7" t="s">
        <v>1331</v>
      </c>
      <c r="B144" s="6" t="s">
        <v>1450</v>
      </c>
      <c r="C144" s="6" t="s">
        <v>1028</v>
      </c>
      <c r="D144" s="6" t="s">
        <v>2178</v>
      </c>
      <c r="E144" s="6" t="s">
        <v>553</v>
      </c>
      <c r="F144" s="6" t="s">
        <v>550</v>
      </c>
      <c r="G144" s="6" t="s">
        <v>552</v>
      </c>
      <c r="H144" s="6" t="s">
        <v>2641</v>
      </c>
      <c r="I144" s="6">
        <v>1</v>
      </c>
      <c r="J144" s="6">
        <v>2</v>
      </c>
      <c r="K144" s="6">
        <v>0</v>
      </c>
    </row>
    <row r="145" spans="1:11" ht="38.25" x14ac:dyDescent="0.2">
      <c r="A145" s="11" t="s">
        <v>1332</v>
      </c>
      <c r="B145" s="6" t="s">
        <v>1451</v>
      </c>
      <c r="C145" s="6" t="s">
        <v>1028</v>
      </c>
      <c r="D145" s="6" t="s">
        <v>2179</v>
      </c>
      <c r="E145" s="6" t="s">
        <v>553</v>
      </c>
      <c r="F145" s="6" t="s">
        <v>1333</v>
      </c>
      <c r="G145" s="6" t="s">
        <v>552</v>
      </c>
      <c r="H145" s="6" t="s">
        <v>2671</v>
      </c>
      <c r="I145" s="6">
        <v>1</v>
      </c>
      <c r="J145" s="6">
        <v>2</v>
      </c>
      <c r="K145" s="6">
        <v>0</v>
      </c>
    </row>
    <row r="146" spans="1:11" ht="25.5" x14ac:dyDescent="0.2">
      <c r="A146" s="8" t="s">
        <v>1268</v>
      </c>
      <c r="B146" s="6" t="s">
        <v>1658</v>
      </c>
      <c r="C146" s="6" t="s">
        <v>1028</v>
      </c>
      <c r="D146" s="6" t="s">
        <v>2101</v>
      </c>
      <c r="E146" s="6" t="s">
        <v>553</v>
      </c>
      <c r="F146" s="6" t="s">
        <v>550</v>
      </c>
      <c r="G146" s="6" t="s">
        <v>552</v>
      </c>
      <c r="H146" s="6" t="s">
        <v>2617</v>
      </c>
      <c r="I146" s="6">
        <v>1</v>
      </c>
      <c r="J146" s="6">
        <v>2</v>
      </c>
      <c r="K146" s="6">
        <v>0</v>
      </c>
    </row>
    <row r="147" spans="1:11" ht="51" x14ac:dyDescent="0.2">
      <c r="A147" s="11" t="s">
        <v>1269</v>
      </c>
      <c r="B147" s="6" t="s">
        <v>1659</v>
      </c>
      <c r="C147" s="6" t="s">
        <v>1028</v>
      </c>
      <c r="D147" s="6" t="s">
        <v>2102</v>
      </c>
      <c r="E147" s="6" t="s">
        <v>553</v>
      </c>
      <c r="F147" s="6" t="s">
        <v>550</v>
      </c>
      <c r="G147" s="6" t="s">
        <v>552</v>
      </c>
      <c r="H147" s="6" t="s">
        <v>2618</v>
      </c>
      <c r="I147" s="6">
        <v>1</v>
      </c>
      <c r="J147" s="6">
        <v>5</v>
      </c>
      <c r="K147" s="6">
        <v>0</v>
      </c>
    </row>
    <row r="148" spans="1:11" x14ac:dyDescent="0.2">
      <c r="A148" s="11" t="s">
        <v>1270</v>
      </c>
      <c r="B148" s="13" t="s">
        <v>1660</v>
      </c>
      <c r="C148" s="13" t="s">
        <v>1028</v>
      </c>
      <c r="D148" s="6" t="s">
        <v>2103</v>
      </c>
      <c r="E148" s="6" t="s">
        <v>553</v>
      </c>
      <c r="F148" s="6" t="s">
        <v>550</v>
      </c>
      <c r="G148" s="6" t="s">
        <v>552</v>
      </c>
      <c r="H148" s="6" t="s">
        <v>2503</v>
      </c>
      <c r="I148" s="6">
        <v>1</v>
      </c>
      <c r="J148" s="6">
        <v>1</v>
      </c>
      <c r="K148" s="6">
        <v>0</v>
      </c>
    </row>
    <row r="149" spans="1:11" ht="38.25" x14ac:dyDescent="0.2">
      <c r="A149" s="11" t="s">
        <v>1334</v>
      </c>
      <c r="B149" s="6" t="s">
        <v>1452</v>
      </c>
      <c r="C149" s="6" t="s">
        <v>1028</v>
      </c>
      <c r="D149" s="6" t="s">
        <v>2180</v>
      </c>
      <c r="E149" s="6" t="s">
        <v>553</v>
      </c>
      <c r="F149" s="6" t="s">
        <v>550</v>
      </c>
      <c r="G149" s="6" t="s">
        <v>552</v>
      </c>
      <c r="H149" s="6" t="s">
        <v>2635</v>
      </c>
      <c r="I149" s="6">
        <v>1</v>
      </c>
      <c r="J149" s="6">
        <v>2</v>
      </c>
      <c r="K149" s="6">
        <v>0</v>
      </c>
    </row>
    <row r="150" spans="1:11" ht="25.5" x14ac:dyDescent="0.2">
      <c r="A150" s="11" t="s">
        <v>1335</v>
      </c>
      <c r="B150" s="6" t="s">
        <v>1453</v>
      </c>
      <c r="C150" s="6" t="s">
        <v>1028</v>
      </c>
      <c r="D150" s="6" t="s">
        <v>2181</v>
      </c>
      <c r="E150" s="6" t="s">
        <v>553</v>
      </c>
      <c r="F150" s="6" t="s">
        <v>1255</v>
      </c>
      <c r="G150" s="6" t="s">
        <v>552</v>
      </c>
      <c r="H150" s="6" t="s">
        <v>2634</v>
      </c>
      <c r="I150" s="6">
        <v>1</v>
      </c>
      <c r="J150" s="6">
        <v>2</v>
      </c>
      <c r="K150" s="6">
        <v>0</v>
      </c>
    </row>
    <row r="151" spans="1:11" ht="38.25" x14ac:dyDescent="0.2">
      <c r="A151" s="11" t="s">
        <v>1271</v>
      </c>
      <c r="B151" s="6" t="s">
        <v>1661</v>
      </c>
      <c r="C151" s="6" t="s">
        <v>1028</v>
      </c>
      <c r="D151" s="6" t="s">
        <v>2104</v>
      </c>
      <c r="E151" s="6" t="s">
        <v>553</v>
      </c>
      <c r="F151" s="6" t="s">
        <v>550</v>
      </c>
      <c r="G151" s="6" t="s">
        <v>552</v>
      </c>
      <c r="H151" s="6" t="s">
        <v>2600</v>
      </c>
      <c r="I151" s="6">
        <v>1</v>
      </c>
      <c r="J151" s="6">
        <v>2</v>
      </c>
      <c r="K151" s="6">
        <v>0</v>
      </c>
    </row>
    <row r="152" spans="1:11" ht="38.25" x14ac:dyDescent="0.2">
      <c r="A152" s="11" t="s">
        <v>1229</v>
      </c>
      <c r="B152" s="6" t="s">
        <v>1375</v>
      </c>
      <c r="C152" s="6" t="s">
        <v>1028</v>
      </c>
      <c r="D152" s="6" t="s">
        <v>2205</v>
      </c>
      <c r="E152" s="6" t="s">
        <v>553</v>
      </c>
      <c r="F152" s="6" t="s">
        <v>550</v>
      </c>
      <c r="G152" s="6" t="s">
        <v>552</v>
      </c>
      <c r="H152" s="6" t="s">
        <v>2627</v>
      </c>
      <c r="I152" s="6">
        <v>1</v>
      </c>
      <c r="J152" s="6">
        <v>2</v>
      </c>
      <c r="K152" s="6">
        <v>0</v>
      </c>
    </row>
    <row r="153" spans="1:11" ht="38.25" x14ac:dyDescent="0.2">
      <c r="A153" s="8" t="s">
        <v>1341</v>
      </c>
      <c r="B153" s="6" t="s">
        <v>1458</v>
      </c>
      <c r="C153" s="6" t="s">
        <v>1028</v>
      </c>
      <c r="D153" s="6" t="s">
        <v>2190</v>
      </c>
      <c r="E153" s="6" t="s">
        <v>553</v>
      </c>
      <c r="F153" s="6" t="s">
        <v>550</v>
      </c>
      <c r="G153" s="6" t="s">
        <v>552</v>
      </c>
      <c r="H153" s="6" t="s">
        <v>2681</v>
      </c>
      <c r="I153" s="6">
        <v>1</v>
      </c>
      <c r="J153" s="6">
        <v>2</v>
      </c>
      <c r="K153" s="6">
        <v>0</v>
      </c>
    </row>
    <row r="154" spans="1:11" ht="38.25" x14ac:dyDescent="0.2">
      <c r="A154" s="7" t="s">
        <v>1342</v>
      </c>
      <c r="B154" s="6" t="s">
        <v>1459</v>
      </c>
      <c r="C154" s="6" t="s">
        <v>1028</v>
      </c>
      <c r="D154" s="6" t="s">
        <v>2191</v>
      </c>
      <c r="E154" s="6" t="s">
        <v>553</v>
      </c>
      <c r="F154" s="6" t="s">
        <v>550</v>
      </c>
      <c r="G154" s="6" t="s">
        <v>552</v>
      </c>
      <c r="H154" s="6" t="s">
        <v>2682</v>
      </c>
      <c r="I154" s="6">
        <v>1</v>
      </c>
      <c r="J154" s="6">
        <v>3</v>
      </c>
      <c r="K154" s="6">
        <v>0</v>
      </c>
    </row>
    <row r="155" spans="1:11" ht="25.5" x14ac:dyDescent="0.2">
      <c r="A155" s="11" t="s">
        <v>1343</v>
      </c>
      <c r="B155" s="6" t="s">
        <v>1460</v>
      </c>
      <c r="C155" s="6" t="s">
        <v>1028</v>
      </c>
      <c r="D155" s="6" t="s">
        <v>2192</v>
      </c>
      <c r="E155" s="6" t="s">
        <v>553</v>
      </c>
      <c r="F155" s="6" t="s">
        <v>550</v>
      </c>
      <c r="G155" s="6" t="s">
        <v>552</v>
      </c>
      <c r="H155" s="6" t="s">
        <v>2683</v>
      </c>
      <c r="I155" s="6">
        <v>1</v>
      </c>
      <c r="J155" s="6">
        <v>2</v>
      </c>
      <c r="K155" s="6">
        <v>0</v>
      </c>
    </row>
    <row r="156" spans="1:11" ht="51" x14ac:dyDescent="0.2">
      <c r="A156" s="8" t="s">
        <v>1538</v>
      </c>
      <c r="B156" s="6" t="s">
        <v>1461</v>
      </c>
      <c r="C156" s="6" t="s">
        <v>1028</v>
      </c>
      <c r="D156" s="6" t="s">
        <v>2193</v>
      </c>
      <c r="E156" s="6" t="s">
        <v>553</v>
      </c>
      <c r="F156" s="6" t="s">
        <v>4326</v>
      </c>
      <c r="G156" s="6" t="s">
        <v>552</v>
      </c>
      <c r="H156" s="6" t="s">
        <v>2684</v>
      </c>
      <c r="I156" s="6">
        <v>1</v>
      </c>
      <c r="J156" s="6">
        <v>3</v>
      </c>
      <c r="K156" s="6">
        <v>0</v>
      </c>
    </row>
    <row r="157" spans="1:11" ht="63.75" x14ac:dyDescent="0.2">
      <c r="A157" s="12" t="s">
        <v>1539</v>
      </c>
      <c r="B157" s="6" t="s">
        <v>1683</v>
      </c>
      <c r="C157" s="6" t="s">
        <v>1028</v>
      </c>
      <c r="D157" s="6" t="s">
        <v>2194</v>
      </c>
      <c r="E157" s="6" t="s">
        <v>553</v>
      </c>
      <c r="F157" s="6" t="s">
        <v>4326</v>
      </c>
      <c r="G157" s="6" t="s">
        <v>552</v>
      </c>
      <c r="H157" s="6" t="s">
        <v>2586</v>
      </c>
      <c r="I157" s="6">
        <v>1</v>
      </c>
      <c r="J157" s="6">
        <v>5</v>
      </c>
      <c r="K157" s="6">
        <v>0</v>
      </c>
    </row>
    <row r="158" spans="1:11" ht="51" x14ac:dyDescent="0.2">
      <c r="A158" s="9" t="s">
        <v>1540</v>
      </c>
      <c r="B158" s="6" t="s">
        <v>1462</v>
      </c>
      <c r="C158" s="13" t="s">
        <v>1028</v>
      </c>
      <c r="D158" s="6" t="s">
        <v>2195</v>
      </c>
      <c r="E158" s="6" t="s">
        <v>553</v>
      </c>
      <c r="F158" s="6" t="s">
        <v>4326</v>
      </c>
      <c r="G158" s="6" t="s">
        <v>552</v>
      </c>
      <c r="H158" s="6" t="s">
        <v>2686</v>
      </c>
      <c r="I158" s="6">
        <v>1</v>
      </c>
      <c r="J158" s="6">
        <v>3</v>
      </c>
      <c r="K158" s="6">
        <v>0</v>
      </c>
    </row>
    <row r="159" spans="1:11" ht="63.75" x14ac:dyDescent="0.2">
      <c r="A159" s="12" t="s">
        <v>1541</v>
      </c>
      <c r="B159" s="6" t="s">
        <v>1462</v>
      </c>
      <c r="C159" s="6" t="s">
        <v>1028</v>
      </c>
      <c r="D159" s="6" t="s">
        <v>2196</v>
      </c>
      <c r="E159" s="6" t="s">
        <v>553</v>
      </c>
      <c r="F159" s="6" t="s">
        <v>4326</v>
      </c>
      <c r="G159" s="6" t="s">
        <v>552</v>
      </c>
      <c r="H159" s="6" t="s">
        <v>2586</v>
      </c>
      <c r="I159" s="6">
        <v>1</v>
      </c>
      <c r="J159" s="6">
        <v>5</v>
      </c>
      <c r="K159" s="6">
        <v>0</v>
      </c>
    </row>
    <row r="160" spans="1:11" ht="38.25" x14ac:dyDescent="0.2">
      <c r="A160" s="12" t="s">
        <v>1344</v>
      </c>
      <c r="B160" s="6" t="s">
        <v>1463</v>
      </c>
      <c r="C160" s="6" t="s">
        <v>1028</v>
      </c>
      <c r="D160" s="6" t="s">
        <v>2197</v>
      </c>
      <c r="E160" s="6" t="s">
        <v>553</v>
      </c>
      <c r="F160" s="6" t="s">
        <v>550</v>
      </c>
      <c r="G160" s="6" t="s">
        <v>552</v>
      </c>
      <c r="H160" s="6" t="s">
        <v>2689</v>
      </c>
      <c r="I160" s="6">
        <v>1</v>
      </c>
      <c r="J160" s="6">
        <v>2</v>
      </c>
      <c r="K160" s="6">
        <v>0</v>
      </c>
    </row>
    <row r="161" spans="1:11" ht="25.5" x14ac:dyDescent="0.2">
      <c r="A161" s="11" t="s">
        <v>1345</v>
      </c>
      <c r="B161" s="6" t="s">
        <v>1464</v>
      </c>
      <c r="C161" s="6" t="s">
        <v>1028</v>
      </c>
      <c r="D161" s="6" t="s">
        <v>2198</v>
      </c>
      <c r="E161" s="6" t="s">
        <v>553</v>
      </c>
      <c r="F161" s="6" t="s">
        <v>550</v>
      </c>
      <c r="G161" s="6" t="s">
        <v>552</v>
      </c>
      <c r="H161" s="6" t="s">
        <v>2690</v>
      </c>
      <c r="I161" s="6">
        <v>1</v>
      </c>
      <c r="J161" s="6">
        <v>2</v>
      </c>
      <c r="K161" s="6">
        <v>0</v>
      </c>
    </row>
    <row r="162" spans="1:11" ht="25.5" x14ac:dyDescent="0.2">
      <c r="A162" s="8" t="s">
        <v>1346</v>
      </c>
      <c r="B162" s="6" t="s">
        <v>1465</v>
      </c>
      <c r="C162" s="6" t="s">
        <v>1028</v>
      </c>
      <c r="D162" s="6" t="s">
        <v>2199</v>
      </c>
      <c r="E162" s="6" t="s">
        <v>553</v>
      </c>
      <c r="F162" s="6" t="s">
        <v>550</v>
      </c>
      <c r="G162" s="6" t="s">
        <v>552</v>
      </c>
      <c r="H162" s="6" t="s">
        <v>2690</v>
      </c>
      <c r="I162" s="6">
        <v>1</v>
      </c>
      <c r="J162" s="6">
        <v>2</v>
      </c>
      <c r="K162" s="6">
        <v>0</v>
      </c>
    </row>
    <row r="163" spans="1:11" x14ac:dyDescent="0.2">
      <c r="A163" s="12" t="s">
        <v>2985</v>
      </c>
      <c r="B163" s="6" t="s">
        <v>1385</v>
      </c>
      <c r="C163" s="6" t="s">
        <v>1021</v>
      </c>
      <c r="D163" s="6" t="s">
        <v>1983</v>
      </c>
      <c r="E163" s="6" t="s">
        <v>553</v>
      </c>
      <c r="F163" s="6" t="s">
        <v>550</v>
      </c>
      <c r="G163" s="6" t="s">
        <v>552</v>
      </c>
      <c r="H163" s="6" t="s">
        <v>2384</v>
      </c>
      <c r="I163" s="6">
        <v>1</v>
      </c>
      <c r="J163" s="6">
        <v>2</v>
      </c>
      <c r="K163" s="6">
        <v>0</v>
      </c>
    </row>
    <row r="164" spans="1:11" ht="51" x14ac:dyDescent="0.2">
      <c r="A164" s="11" t="s">
        <v>1542</v>
      </c>
      <c r="B164" s="6" t="s">
        <v>1376</v>
      </c>
      <c r="C164" s="6" t="s">
        <v>1028</v>
      </c>
      <c r="D164" s="6" t="s">
        <v>2206</v>
      </c>
      <c r="E164" s="6" t="s">
        <v>553</v>
      </c>
      <c r="F164" s="6" t="s">
        <v>550</v>
      </c>
      <c r="G164" s="6" t="s">
        <v>552</v>
      </c>
      <c r="H164" s="6" t="s">
        <v>2693</v>
      </c>
      <c r="I164" s="6">
        <v>1</v>
      </c>
      <c r="J164" s="6">
        <v>3</v>
      </c>
      <c r="K164" s="6">
        <v>0</v>
      </c>
    </row>
    <row r="165" spans="1:11" ht="38.25" x14ac:dyDescent="0.2">
      <c r="A165" s="11" t="s">
        <v>1521</v>
      </c>
      <c r="B165" s="6" t="s">
        <v>1662</v>
      </c>
      <c r="C165" s="6" t="s">
        <v>1028</v>
      </c>
      <c r="D165" s="6" t="s">
        <v>2105</v>
      </c>
      <c r="E165" s="6" t="s">
        <v>553</v>
      </c>
      <c r="F165" s="6" t="s">
        <v>550</v>
      </c>
      <c r="G165" s="6" t="s">
        <v>552</v>
      </c>
      <c r="H165" s="6" t="s">
        <v>2620</v>
      </c>
      <c r="I165" s="6">
        <v>1</v>
      </c>
      <c r="J165" s="6">
        <v>2</v>
      </c>
      <c r="K165" s="6">
        <v>0</v>
      </c>
    </row>
    <row r="166" spans="1:11" ht="38.25" x14ac:dyDescent="0.2">
      <c r="A166" s="11" t="s">
        <v>1336</v>
      </c>
      <c r="B166" s="6" t="s">
        <v>1679</v>
      </c>
      <c r="C166" s="6" t="s">
        <v>1028</v>
      </c>
      <c r="D166" s="6" t="s">
        <v>2182</v>
      </c>
      <c r="E166" s="6" t="s">
        <v>553</v>
      </c>
      <c r="F166" s="6" t="s">
        <v>550</v>
      </c>
      <c r="G166" s="6" t="s">
        <v>552</v>
      </c>
      <c r="H166" s="6" t="s">
        <v>2674</v>
      </c>
      <c r="I166" s="6">
        <v>1</v>
      </c>
      <c r="J166" s="6">
        <v>2</v>
      </c>
      <c r="K166" s="6">
        <v>0</v>
      </c>
    </row>
    <row r="167" spans="1:11" ht="25.5" x14ac:dyDescent="0.2">
      <c r="A167" s="11" t="s">
        <v>1522</v>
      </c>
      <c r="B167" s="6" t="s">
        <v>1663</v>
      </c>
      <c r="C167" s="6" t="s">
        <v>1028</v>
      </c>
      <c r="D167" s="6" t="s">
        <v>2106</v>
      </c>
      <c r="E167" s="6" t="s">
        <v>553</v>
      </c>
      <c r="F167" s="6" t="s">
        <v>550</v>
      </c>
      <c r="G167" s="6" t="s">
        <v>552</v>
      </c>
      <c r="H167" s="6" t="s">
        <v>2621</v>
      </c>
      <c r="I167" s="6">
        <v>1</v>
      </c>
      <c r="J167" s="6">
        <v>2</v>
      </c>
      <c r="K167" s="6">
        <v>0</v>
      </c>
    </row>
    <row r="168" spans="1:11" ht="38.25" x14ac:dyDescent="0.2">
      <c r="A168" s="11" t="s">
        <v>1523</v>
      </c>
      <c r="B168" s="13" t="s">
        <v>1664</v>
      </c>
      <c r="C168" s="6" t="s">
        <v>1028</v>
      </c>
      <c r="D168" s="6" t="s">
        <v>2107</v>
      </c>
      <c r="E168" s="6" t="s">
        <v>553</v>
      </c>
      <c r="F168" s="6" t="s">
        <v>550</v>
      </c>
      <c r="G168" s="6" t="s">
        <v>552</v>
      </c>
      <c r="H168" s="6" t="s">
        <v>2622</v>
      </c>
      <c r="I168" s="6">
        <v>1</v>
      </c>
      <c r="J168" s="6">
        <v>2</v>
      </c>
      <c r="K168" s="6">
        <v>0</v>
      </c>
    </row>
    <row r="169" spans="1:11" ht="25.5" x14ac:dyDescent="0.2">
      <c r="A169" s="12" t="s">
        <v>1524</v>
      </c>
      <c r="B169" s="14" t="s">
        <v>1665</v>
      </c>
      <c r="C169" s="6" t="s">
        <v>1028</v>
      </c>
      <c r="D169" s="6" t="s">
        <v>2108</v>
      </c>
      <c r="E169" s="6" t="s">
        <v>553</v>
      </c>
      <c r="F169" s="6" t="s">
        <v>550</v>
      </c>
      <c r="G169" s="6" t="s">
        <v>552</v>
      </c>
      <c r="H169" s="6" t="s">
        <v>2623</v>
      </c>
      <c r="I169" s="6">
        <v>1</v>
      </c>
      <c r="J169" s="6">
        <v>2</v>
      </c>
      <c r="K169" s="6">
        <v>0</v>
      </c>
    </row>
    <row r="170" spans="1:11" ht="38.25" x14ac:dyDescent="0.2">
      <c r="A170" s="6" t="s">
        <v>1543</v>
      </c>
      <c r="B170" s="6" t="s">
        <v>1377</v>
      </c>
      <c r="C170" s="6" t="s">
        <v>1028</v>
      </c>
      <c r="D170" s="6" t="s">
        <v>2207</v>
      </c>
      <c r="E170" s="6" t="s">
        <v>553</v>
      </c>
      <c r="F170" s="6" t="s">
        <v>550</v>
      </c>
      <c r="G170" s="6" t="s">
        <v>552</v>
      </c>
      <c r="H170" s="6" t="s">
        <v>2694</v>
      </c>
      <c r="I170" s="6">
        <v>1</v>
      </c>
      <c r="J170" s="6">
        <v>3</v>
      </c>
      <c r="K170" s="6">
        <v>0</v>
      </c>
    </row>
    <row r="171" spans="1:11" ht="25.5" x14ac:dyDescent="0.2">
      <c r="A171" s="11" t="s">
        <v>1549</v>
      </c>
      <c r="B171" s="6" t="s">
        <v>1383</v>
      </c>
      <c r="C171" s="6" t="s">
        <v>1028</v>
      </c>
      <c r="D171" s="6" t="s">
        <v>2213</v>
      </c>
      <c r="E171" s="6" t="s">
        <v>553</v>
      </c>
      <c r="F171" s="6" t="s">
        <v>550</v>
      </c>
      <c r="G171" s="6" t="s">
        <v>552</v>
      </c>
      <c r="H171" s="6" t="s">
        <v>2624</v>
      </c>
      <c r="I171" s="6">
        <v>1</v>
      </c>
      <c r="J171" s="6">
        <v>2</v>
      </c>
      <c r="K171" s="6">
        <v>0</v>
      </c>
    </row>
    <row r="172" spans="1:11" x14ac:dyDescent="0.2">
      <c r="A172" s="6" t="s">
        <v>1525</v>
      </c>
      <c r="B172" s="6" t="s">
        <v>1666</v>
      </c>
      <c r="C172" s="6" t="s">
        <v>1028</v>
      </c>
      <c r="D172" s="6" t="s">
        <v>2109</v>
      </c>
      <c r="E172" s="6" t="s">
        <v>553</v>
      </c>
      <c r="F172" s="6" t="s">
        <v>550</v>
      </c>
      <c r="G172" s="6" t="s">
        <v>552</v>
      </c>
      <c r="H172" s="6" t="s">
        <v>2449</v>
      </c>
      <c r="I172" s="6">
        <v>1</v>
      </c>
      <c r="J172" s="6">
        <v>1</v>
      </c>
      <c r="K172" s="6">
        <v>0</v>
      </c>
    </row>
    <row r="173" spans="1:11" ht="25.5" x14ac:dyDescent="0.2">
      <c r="A173" s="6" t="s">
        <v>1526</v>
      </c>
      <c r="B173" s="6" t="s">
        <v>1667</v>
      </c>
      <c r="C173" s="6" t="s">
        <v>1028</v>
      </c>
      <c r="D173" s="6" t="s">
        <v>2110</v>
      </c>
      <c r="E173" s="6" t="s">
        <v>553</v>
      </c>
      <c r="F173" s="6" t="s">
        <v>550</v>
      </c>
      <c r="G173" s="6" t="s">
        <v>552</v>
      </c>
      <c r="H173" s="6" t="s">
        <v>2624</v>
      </c>
      <c r="I173" s="6">
        <v>1</v>
      </c>
      <c r="J173" s="6">
        <v>2</v>
      </c>
      <c r="K173" s="6">
        <v>0</v>
      </c>
    </row>
    <row r="174" spans="1:11" ht="38.25" x14ac:dyDescent="0.2">
      <c r="A174" s="11" t="s">
        <v>1527</v>
      </c>
      <c r="B174" s="6" t="s">
        <v>1668</v>
      </c>
      <c r="C174" s="6" t="s">
        <v>1028</v>
      </c>
      <c r="D174" s="6" t="s">
        <v>2111</v>
      </c>
      <c r="E174" s="6" t="s">
        <v>553</v>
      </c>
      <c r="F174" s="6" t="s">
        <v>550</v>
      </c>
      <c r="G174" s="6" t="s">
        <v>552</v>
      </c>
      <c r="H174" s="6" t="s">
        <v>2625</v>
      </c>
      <c r="I174" s="6">
        <v>1</v>
      </c>
      <c r="J174" s="6">
        <v>2</v>
      </c>
      <c r="K174" s="6">
        <v>0</v>
      </c>
    </row>
    <row r="175" spans="1:11" ht="38.25" x14ac:dyDescent="0.2">
      <c r="A175" s="8" t="s">
        <v>1535</v>
      </c>
      <c r="B175" s="6" t="s">
        <v>1680</v>
      </c>
      <c r="C175" s="6" t="s">
        <v>1028</v>
      </c>
      <c r="D175" s="6" t="s">
        <v>2183</v>
      </c>
      <c r="E175" s="6" t="s">
        <v>553</v>
      </c>
      <c r="F175" s="6" t="s">
        <v>4326</v>
      </c>
      <c r="G175" s="6" t="s">
        <v>552</v>
      </c>
      <c r="H175" s="6" t="s">
        <v>2675</v>
      </c>
      <c r="I175" s="6">
        <v>1</v>
      </c>
      <c r="J175" s="6">
        <v>3</v>
      </c>
      <c r="K175" s="6">
        <v>0</v>
      </c>
    </row>
    <row r="176" spans="1:11" ht="63.75" x14ac:dyDescent="0.2">
      <c r="A176" s="11" t="s">
        <v>1536</v>
      </c>
      <c r="B176" s="6" t="s">
        <v>1681</v>
      </c>
      <c r="C176" s="6" t="s">
        <v>1028</v>
      </c>
      <c r="D176" s="6" t="s">
        <v>2184</v>
      </c>
      <c r="E176" s="6" t="s">
        <v>553</v>
      </c>
      <c r="F176" s="6" t="s">
        <v>4326</v>
      </c>
      <c r="G176" s="6" t="s">
        <v>552</v>
      </c>
      <c r="H176" s="6" t="s">
        <v>2586</v>
      </c>
      <c r="I176" s="6">
        <v>1</v>
      </c>
      <c r="J176" s="6">
        <v>5</v>
      </c>
      <c r="K176" s="6">
        <v>0</v>
      </c>
    </row>
    <row r="177" spans="1:11" ht="25.5" x14ac:dyDescent="0.2">
      <c r="A177" s="11" t="s">
        <v>1546</v>
      </c>
      <c r="B177" s="6" t="s">
        <v>1380</v>
      </c>
      <c r="C177" s="6" t="s">
        <v>1028</v>
      </c>
      <c r="D177" s="6" t="s">
        <v>2210</v>
      </c>
      <c r="E177" s="6" t="s">
        <v>553</v>
      </c>
      <c r="F177" s="6" t="s">
        <v>550</v>
      </c>
      <c r="G177" s="6" t="s">
        <v>552</v>
      </c>
      <c r="H177" s="6" t="s">
        <v>2624</v>
      </c>
      <c r="I177" s="6">
        <v>1</v>
      </c>
      <c r="J177" s="6">
        <v>2</v>
      </c>
      <c r="K177" s="6">
        <v>0</v>
      </c>
    </row>
    <row r="178" spans="1:11" ht="25.5" x14ac:dyDescent="0.2">
      <c r="A178" s="12" t="s">
        <v>1337</v>
      </c>
      <c r="B178" s="6" t="s">
        <v>1454</v>
      </c>
      <c r="C178" s="6" t="s">
        <v>1028</v>
      </c>
      <c r="D178" s="6" t="s">
        <v>2185</v>
      </c>
      <c r="E178" s="6" t="s">
        <v>553</v>
      </c>
      <c r="F178" s="6" t="s">
        <v>550</v>
      </c>
      <c r="G178" s="6" t="s">
        <v>552</v>
      </c>
      <c r="H178" s="6" t="s">
        <v>2676</v>
      </c>
      <c r="I178" s="6">
        <v>1</v>
      </c>
      <c r="J178" s="6">
        <v>2</v>
      </c>
      <c r="K178" s="6">
        <v>0</v>
      </c>
    </row>
    <row r="179" spans="1:11" ht="38.25" x14ac:dyDescent="0.2">
      <c r="A179" s="8" t="s">
        <v>1528</v>
      </c>
      <c r="B179" s="6" t="s">
        <v>1669</v>
      </c>
      <c r="C179" s="6" t="s">
        <v>1028</v>
      </c>
      <c r="D179" s="6" t="s">
        <v>2112</v>
      </c>
      <c r="E179" s="6" t="s">
        <v>553</v>
      </c>
      <c r="F179" s="6" t="s">
        <v>550</v>
      </c>
      <c r="G179" s="6" t="s">
        <v>552</v>
      </c>
      <c r="H179" s="6" t="s">
        <v>2626</v>
      </c>
      <c r="I179" s="6">
        <v>1</v>
      </c>
      <c r="J179" s="6">
        <v>2</v>
      </c>
      <c r="K179" s="6">
        <v>0</v>
      </c>
    </row>
    <row r="180" spans="1:11" ht="38.25" x14ac:dyDescent="0.2">
      <c r="A180" s="11" t="s">
        <v>1544</v>
      </c>
      <c r="B180" s="6" t="s">
        <v>1378</v>
      </c>
      <c r="C180" s="6" t="s">
        <v>1028</v>
      </c>
      <c r="D180" s="6" t="s">
        <v>2208</v>
      </c>
      <c r="E180" s="6" t="s">
        <v>553</v>
      </c>
      <c r="F180" s="6" t="s">
        <v>550</v>
      </c>
      <c r="G180" s="6" t="s">
        <v>552</v>
      </c>
      <c r="H180" s="6" t="s">
        <v>2695</v>
      </c>
      <c r="I180" s="6">
        <v>1</v>
      </c>
      <c r="J180" s="6">
        <v>2</v>
      </c>
      <c r="K180" s="6">
        <v>0</v>
      </c>
    </row>
    <row r="181" spans="1:11" ht="38.25" x14ac:dyDescent="0.2">
      <c r="A181" s="11" t="s">
        <v>1338</v>
      </c>
      <c r="B181" s="6" t="s">
        <v>1455</v>
      </c>
      <c r="C181" s="6" t="s">
        <v>1028</v>
      </c>
      <c r="D181" s="6" t="s">
        <v>2186</v>
      </c>
      <c r="E181" s="6" t="s">
        <v>553</v>
      </c>
      <c r="F181" s="6" t="s">
        <v>550</v>
      </c>
      <c r="G181" s="6" t="s">
        <v>552</v>
      </c>
      <c r="H181" s="6" t="s">
        <v>2677</v>
      </c>
      <c r="I181" s="6">
        <v>1</v>
      </c>
      <c r="J181" s="6">
        <v>2</v>
      </c>
      <c r="K181" s="6">
        <v>0</v>
      </c>
    </row>
    <row r="182" spans="1:11" ht="38.25" x14ac:dyDescent="0.2">
      <c r="A182" s="11" t="s">
        <v>1941</v>
      </c>
      <c r="B182" s="6" t="s">
        <v>1944</v>
      </c>
      <c r="C182" s="13" t="s">
        <v>1028</v>
      </c>
      <c r="D182" s="6" t="s">
        <v>2113</v>
      </c>
      <c r="E182" s="6" t="s">
        <v>553</v>
      </c>
      <c r="F182" s="6" t="s">
        <v>550</v>
      </c>
      <c r="G182" s="6" t="s">
        <v>552</v>
      </c>
      <c r="H182" s="6" t="s">
        <v>2627</v>
      </c>
      <c r="I182" s="6">
        <v>1</v>
      </c>
      <c r="J182" s="6">
        <v>2</v>
      </c>
      <c r="K182" s="6">
        <v>0</v>
      </c>
    </row>
    <row r="183" spans="1:11" ht="25.5" x14ac:dyDescent="0.2">
      <c r="A183" s="12" t="s">
        <v>1339</v>
      </c>
      <c r="B183" s="6" t="s">
        <v>1456</v>
      </c>
      <c r="C183" s="6" t="s">
        <v>1028</v>
      </c>
      <c r="D183" s="6" t="s">
        <v>2188</v>
      </c>
      <c r="E183" s="6" t="s">
        <v>553</v>
      </c>
      <c r="F183" s="6" t="s">
        <v>550</v>
      </c>
      <c r="G183" s="6" t="s">
        <v>552</v>
      </c>
      <c r="H183" s="6" t="s">
        <v>2679</v>
      </c>
      <c r="I183" s="6">
        <v>1</v>
      </c>
      <c r="J183" s="6">
        <v>3</v>
      </c>
      <c r="K183" s="6">
        <v>0</v>
      </c>
    </row>
    <row r="184" spans="1:11" ht="63.75" x14ac:dyDescent="0.2">
      <c r="A184" s="12" t="s">
        <v>1545</v>
      </c>
      <c r="B184" s="6" t="s">
        <v>1379</v>
      </c>
      <c r="C184" s="13" t="s">
        <v>1028</v>
      </c>
      <c r="D184" s="6" t="s">
        <v>2209</v>
      </c>
      <c r="E184" s="6" t="s">
        <v>553</v>
      </c>
      <c r="F184" s="6" t="s">
        <v>550</v>
      </c>
      <c r="G184" s="6" t="s">
        <v>552</v>
      </c>
      <c r="H184" s="6" t="s">
        <v>2696</v>
      </c>
      <c r="I184" s="6">
        <v>1</v>
      </c>
      <c r="J184" s="6">
        <v>5</v>
      </c>
      <c r="K184" s="6">
        <v>0</v>
      </c>
    </row>
    <row r="185" spans="1:11" ht="25.5" x14ac:dyDescent="0.2">
      <c r="A185" s="12" t="s">
        <v>1547</v>
      </c>
      <c r="B185" s="6" t="s">
        <v>1381</v>
      </c>
      <c r="C185" s="6" t="s">
        <v>1028</v>
      </c>
      <c r="D185" s="6" t="s">
        <v>2211</v>
      </c>
      <c r="E185" s="6" t="s">
        <v>553</v>
      </c>
      <c r="F185" s="6" t="s">
        <v>550</v>
      </c>
      <c r="G185" s="6" t="s">
        <v>552</v>
      </c>
      <c r="H185" s="6" t="s">
        <v>2624</v>
      </c>
      <c r="I185" s="6">
        <v>1</v>
      </c>
      <c r="J185" s="6">
        <v>2</v>
      </c>
      <c r="K185" s="6">
        <v>0</v>
      </c>
    </row>
    <row r="186" spans="1:11" ht="38.25" x14ac:dyDescent="0.2">
      <c r="A186" s="11" t="s">
        <v>1537</v>
      </c>
      <c r="B186" s="6" t="s">
        <v>1682</v>
      </c>
      <c r="C186" s="6" t="s">
        <v>1028</v>
      </c>
      <c r="D186" s="6" t="s">
        <v>2187</v>
      </c>
      <c r="E186" s="6" t="s">
        <v>553</v>
      </c>
      <c r="F186" s="6" t="s">
        <v>550</v>
      </c>
      <c r="G186" s="6" t="s">
        <v>552</v>
      </c>
      <c r="H186" s="6" t="s">
        <v>2678</v>
      </c>
      <c r="I186" s="6">
        <v>1</v>
      </c>
      <c r="J186" s="6">
        <v>2</v>
      </c>
      <c r="K186" s="6">
        <v>0</v>
      </c>
    </row>
    <row r="187" spans="1:11" ht="25.5" x14ac:dyDescent="0.2">
      <c r="A187" s="8" t="s">
        <v>1529</v>
      </c>
      <c r="B187" s="6" t="s">
        <v>1670</v>
      </c>
      <c r="C187" s="6" t="s">
        <v>1028</v>
      </c>
      <c r="D187" s="6" t="s">
        <v>2114</v>
      </c>
      <c r="E187" s="6" t="s">
        <v>553</v>
      </c>
      <c r="F187" s="6" t="s">
        <v>550</v>
      </c>
      <c r="G187" s="6" t="s">
        <v>552</v>
      </c>
      <c r="H187" s="6" t="s">
        <v>2628</v>
      </c>
      <c r="I187" s="6">
        <v>1</v>
      </c>
      <c r="J187" s="6">
        <v>2</v>
      </c>
      <c r="K187" s="6">
        <v>0</v>
      </c>
    </row>
    <row r="188" spans="1:11" ht="63.75" x14ac:dyDescent="0.2">
      <c r="A188" s="6" t="s">
        <v>1340</v>
      </c>
      <c r="B188" s="6" t="s">
        <v>1457</v>
      </c>
      <c r="C188" s="6" t="s">
        <v>1028</v>
      </c>
      <c r="D188" s="6" t="s">
        <v>2189</v>
      </c>
      <c r="E188" s="6" t="s">
        <v>553</v>
      </c>
      <c r="F188" s="6" t="s">
        <v>550</v>
      </c>
      <c r="G188" s="6" t="s">
        <v>552</v>
      </c>
      <c r="H188" s="6" t="s">
        <v>2680</v>
      </c>
      <c r="I188" s="6">
        <v>1</v>
      </c>
      <c r="J188" s="6">
        <v>4</v>
      </c>
      <c r="K188" s="6">
        <v>0</v>
      </c>
    </row>
    <row r="189" spans="1:11" ht="25.5" x14ac:dyDescent="0.2">
      <c r="A189" s="9" t="s">
        <v>1548</v>
      </c>
      <c r="B189" s="6" t="s">
        <v>1382</v>
      </c>
      <c r="C189" s="6" t="s">
        <v>1028</v>
      </c>
      <c r="D189" s="6" t="s">
        <v>2212</v>
      </c>
      <c r="E189" s="6" t="s">
        <v>553</v>
      </c>
      <c r="F189" s="6" t="s">
        <v>550</v>
      </c>
      <c r="G189" s="6" t="s">
        <v>552</v>
      </c>
      <c r="H189" s="6" t="s">
        <v>2624</v>
      </c>
      <c r="I189" s="6">
        <v>1</v>
      </c>
      <c r="J189" s="6">
        <v>2</v>
      </c>
      <c r="K189" s="6">
        <v>0</v>
      </c>
    </row>
    <row r="190" spans="1:11" x14ac:dyDescent="0.2">
      <c r="A190" s="11" t="s">
        <v>1530</v>
      </c>
      <c r="B190" s="6" t="s">
        <v>1671</v>
      </c>
      <c r="C190" s="6" t="s">
        <v>1028</v>
      </c>
      <c r="D190" s="6" t="s">
        <v>2115</v>
      </c>
      <c r="E190" s="6" t="s">
        <v>553</v>
      </c>
      <c r="F190" s="6" t="s">
        <v>550</v>
      </c>
      <c r="G190" s="6" t="s">
        <v>552</v>
      </c>
      <c r="H190" s="6" t="s">
        <v>2449</v>
      </c>
      <c r="I190" s="6">
        <v>1</v>
      </c>
      <c r="J190" s="6">
        <v>1</v>
      </c>
      <c r="K190" s="6">
        <v>0</v>
      </c>
    </row>
    <row r="191" spans="1:11" ht="25.5" x14ac:dyDescent="0.2">
      <c r="A191" s="8" t="s">
        <v>1531</v>
      </c>
      <c r="B191" s="6" t="s">
        <v>1672</v>
      </c>
      <c r="C191" s="6" t="s">
        <v>1028</v>
      </c>
      <c r="D191" s="6" t="s">
        <v>2116</v>
      </c>
      <c r="E191" s="6" t="s">
        <v>553</v>
      </c>
      <c r="F191" s="6" t="s">
        <v>550</v>
      </c>
      <c r="G191" s="6" t="s">
        <v>552</v>
      </c>
      <c r="H191" s="6" t="s">
        <v>2624</v>
      </c>
      <c r="I191" s="6">
        <v>1</v>
      </c>
      <c r="J191" s="6">
        <v>2</v>
      </c>
      <c r="K191" s="6">
        <v>0</v>
      </c>
    </row>
    <row r="192" spans="1:11" ht="63.75" x14ac:dyDescent="0.2">
      <c r="A192" s="11" t="s">
        <v>3974</v>
      </c>
      <c r="B192" s="6" t="s">
        <v>3999</v>
      </c>
      <c r="C192" s="13" t="s">
        <v>1028</v>
      </c>
      <c r="D192" s="6" t="s">
        <v>3975</v>
      </c>
      <c r="E192" s="6" t="s">
        <v>553</v>
      </c>
      <c r="F192" s="6" t="s">
        <v>550</v>
      </c>
      <c r="G192" s="6" t="s">
        <v>552</v>
      </c>
      <c r="H192" s="6" t="s">
        <v>3990</v>
      </c>
      <c r="I192" s="6">
        <v>1</v>
      </c>
      <c r="J192" s="6">
        <v>3</v>
      </c>
      <c r="K192" s="6">
        <v>0</v>
      </c>
    </row>
    <row r="193" spans="1:11" ht="89.25" x14ac:dyDescent="0.2">
      <c r="A193" s="11" t="s">
        <v>4328</v>
      </c>
      <c r="B193" s="6" t="s">
        <v>4344</v>
      </c>
      <c r="C193" s="6" t="s">
        <v>1028</v>
      </c>
      <c r="D193" s="6" t="s">
        <v>4329</v>
      </c>
      <c r="E193" s="6" t="s">
        <v>553</v>
      </c>
      <c r="F193" s="6" t="s">
        <v>550</v>
      </c>
      <c r="G193" s="6" t="s">
        <v>552</v>
      </c>
      <c r="H193" s="6" t="s">
        <v>4345</v>
      </c>
      <c r="I193" s="6">
        <v>1</v>
      </c>
      <c r="J193" s="6">
        <v>7</v>
      </c>
      <c r="K193" s="6">
        <v>0</v>
      </c>
    </row>
    <row r="194" spans="1:11" ht="25.5" x14ac:dyDescent="0.2">
      <c r="A194" s="7" t="s">
        <v>3842</v>
      </c>
      <c r="B194" s="6" t="s">
        <v>3917</v>
      </c>
      <c r="C194" s="6" t="s">
        <v>1028</v>
      </c>
      <c r="D194" s="6" t="s">
        <v>3843</v>
      </c>
      <c r="E194" s="6" t="s">
        <v>553</v>
      </c>
      <c r="F194" s="6" t="s">
        <v>550</v>
      </c>
      <c r="G194" s="6" t="s">
        <v>552</v>
      </c>
      <c r="H194" s="6" t="s">
        <v>4000</v>
      </c>
      <c r="I194" s="6">
        <v>1</v>
      </c>
      <c r="J194" s="6">
        <v>2</v>
      </c>
      <c r="K194" s="6">
        <v>0</v>
      </c>
    </row>
    <row r="195" spans="1:11" ht="89.25" x14ac:dyDescent="0.2">
      <c r="A195" s="6" t="s">
        <v>4330</v>
      </c>
      <c r="B195" s="6" t="s">
        <v>4346</v>
      </c>
      <c r="C195" s="6" t="s">
        <v>1028</v>
      </c>
      <c r="D195" s="6" t="s">
        <v>4331</v>
      </c>
      <c r="E195" s="6" t="s">
        <v>553</v>
      </c>
      <c r="F195" s="6" t="s">
        <v>550</v>
      </c>
      <c r="G195" s="6" t="s">
        <v>552</v>
      </c>
      <c r="H195" s="6" t="s">
        <v>4345</v>
      </c>
      <c r="I195" s="6">
        <v>1</v>
      </c>
      <c r="J195" s="6">
        <v>7</v>
      </c>
      <c r="K195" s="6">
        <v>0</v>
      </c>
    </row>
    <row r="196" spans="1:11" ht="25.5" x14ac:dyDescent="0.2">
      <c r="A196" s="6" t="s">
        <v>3976</v>
      </c>
      <c r="B196" s="6" t="s">
        <v>4020</v>
      </c>
      <c r="C196" s="6" t="s">
        <v>1028</v>
      </c>
      <c r="D196" s="6" t="s">
        <v>3977</v>
      </c>
      <c r="E196" s="6" t="s">
        <v>553</v>
      </c>
      <c r="F196" s="6" t="s">
        <v>550</v>
      </c>
      <c r="G196" s="6" t="s">
        <v>552</v>
      </c>
      <c r="H196" s="6" t="s">
        <v>2384</v>
      </c>
      <c r="I196" s="6">
        <v>1</v>
      </c>
      <c r="J196" s="6">
        <v>2</v>
      </c>
      <c r="K196" s="6">
        <v>0</v>
      </c>
    </row>
    <row r="197" spans="1:11" ht="38.25" x14ac:dyDescent="0.2">
      <c r="A197" s="6" t="s">
        <v>3978</v>
      </c>
      <c r="B197" s="6" t="s">
        <v>4001</v>
      </c>
      <c r="C197" s="6" t="s">
        <v>1028</v>
      </c>
      <c r="D197" s="6" t="s">
        <v>3979</v>
      </c>
      <c r="E197" s="6" t="s">
        <v>553</v>
      </c>
      <c r="F197" s="6" t="s">
        <v>1255</v>
      </c>
      <c r="G197" s="6" t="s">
        <v>552</v>
      </c>
      <c r="H197" s="6" t="s">
        <v>4002</v>
      </c>
      <c r="I197" s="6">
        <v>1</v>
      </c>
      <c r="J197" s="6">
        <v>2</v>
      </c>
      <c r="K197" s="6">
        <v>0</v>
      </c>
    </row>
    <row r="198" spans="1:11" ht="38.25" x14ac:dyDescent="0.2">
      <c r="A198" s="11" t="s">
        <v>3844</v>
      </c>
      <c r="B198" s="6" t="s">
        <v>3956</v>
      </c>
      <c r="C198" s="6" t="s">
        <v>1028</v>
      </c>
      <c r="D198" s="6" t="s">
        <v>3845</v>
      </c>
      <c r="E198" s="6" t="s">
        <v>553</v>
      </c>
      <c r="F198" s="6" t="s">
        <v>550</v>
      </c>
      <c r="G198" s="6" t="s">
        <v>552</v>
      </c>
      <c r="H198" s="6" t="s">
        <v>4003</v>
      </c>
      <c r="I198" s="6">
        <v>1</v>
      </c>
      <c r="J198" s="6">
        <v>2</v>
      </c>
      <c r="K198" s="6">
        <v>0</v>
      </c>
    </row>
    <row r="199" spans="1:11" x14ac:dyDescent="0.2">
      <c r="A199" s="11" t="s">
        <v>3846</v>
      </c>
      <c r="B199" s="6" t="s">
        <v>3918</v>
      </c>
      <c r="C199" s="13" t="s">
        <v>1028</v>
      </c>
      <c r="D199" s="6" t="s">
        <v>3847</v>
      </c>
      <c r="E199" s="6" t="s">
        <v>553</v>
      </c>
      <c r="F199" s="6" t="s">
        <v>550</v>
      </c>
      <c r="G199" s="6" t="s">
        <v>552</v>
      </c>
      <c r="H199" s="6" t="s">
        <v>3891</v>
      </c>
      <c r="I199" s="6">
        <v>1</v>
      </c>
      <c r="J199" s="6">
        <v>2</v>
      </c>
      <c r="K199" s="6">
        <v>0</v>
      </c>
    </row>
    <row r="200" spans="1:11" ht="25.5" x14ac:dyDescent="0.2">
      <c r="A200" s="9" t="s">
        <v>1272</v>
      </c>
      <c r="B200" s="6" t="s">
        <v>1673</v>
      </c>
      <c r="C200" s="13" t="s">
        <v>1028</v>
      </c>
      <c r="D200" s="6" t="s">
        <v>2117</v>
      </c>
      <c r="E200" s="6" t="s">
        <v>553</v>
      </c>
      <c r="F200" s="6" t="s">
        <v>550</v>
      </c>
      <c r="G200" s="6" t="s">
        <v>552</v>
      </c>
      <c r="H200" s="6" t="s">
        <v>2613</v>
      </c>
      <c r="I200" s="6">
        <v>1</v>
      </c>
      <c r="J200" s="6">
        <v>11</v>
      </c>
      <c r="K200" s="6">
        <v>0</v>
      </c>
    </row>
    <row r="201" spans="1:11" ht="25.5" x14ac:dyDescent="0.2">
      <c r="A201" s="6" t="s">
        <v>1273</v>
      </c>
      <c r="B201" s="6" t="s">
        <v>1674</v>
      </c>
      <c r="C201" s="6" t="s">
        <v>1028</v>
      </c>
      <c r="D201" s="6" t="s">
        <v>2118</v>
      </c>
      <c r="E201" s="6" t="s">
        <v>553</v>
      </c>
      <c r="F201" s="6" t="s">
        <v>550</v>
      </c>
      <c r="G201" s="6" t="s">
        <v>552</v>
      </c>
      <c r="H201" s="6" t="s">
        <v>2613</v>
      </c>
      <c r="I201" s="6">
        <v>1</v>
      </c>
      <c r="J201" s="6">
        <v>3</v>
      </c>
      <c r="K201" s="6">
        <v>0</v>
      </c>
    </row>
    <row r="202" spans="1:11" ht="25.5" x14ac:dyDescent="0.2">
      <c r="A202" s="11" t="s">
        <v>1274</v>
      </c>
      <c r="B202" s="6" t="s">
        <v>1675</v>
      </c>
      <c r="C202" s="6" t="s">
        <v>1028</v>
      </c>
      <c r="D202" s="6" t="s">
        <v>2119</v>
      </c>
      <c r="E202" s="6" t="s">
        <v>553</v>
      </c>
      <c r="F202" s="6" t="s">
        <v>550</v>
      </c>
      <c r="G202" s="6" t="s">
        <v>552</v>
      </c>
      <c r="H202" s="6" t="s">
        <v>2295</v>
      </c>
      <c r="I202" s="6">
        <v>1</v>
      </c>
      <c r="J202" s="6">
        <v>7</v>
      </c>
      <c r="K202" s="6">
        <v>0</v>
      </c>
    </row>
    <row r="203" spans="1:11" ht="25.5" x14ac:dyDescent="0.2">
      <c r="A203" s="8" t="s">
        <v>4086</v>
      </c>
      <c r="B203" s="6" t="s">
        <v>4121</v>
      </c>
      <c r="C203" s="6" t="s">
        <v>4387</v>
      </c>
      <c r="D203" s="6" t="s">
        <v>4087</v>
      </c>
      <c r="E203" s="6" t="s">
        <v>646</v>
      </c>
      <c r="F203" s="6" t="s">
        <v>550</v>
      </c>
      <c r="G203" s="6" t="s">
        <v>552</v>
      </c>
      <c r="H203" s="6" t="s">
        <v>785</v>
      </c>
      <c r="I203" s="6">
        <v>1</v>
      </c>
      <c r="J203" s="6">
        <v>5</v>
      </c>
      <c r="K203" s="6">
        <v>0</v>
      </c>
    </row>
    <row r="204" spans="1:11" ht="51" x14ac:dyDescent="0.2">
      <c r="A204" s="11" t="s">
        <v>4088</v>
      </c>
      <c r="B204" s="6" t="s">
        <v>4122</v>
      </c>
      <c r="C204" s="6" t="s">
        <v>4387</v>
      </c>
      <c r="D204" s="6" t="s">
        <v>4090</v>
      </c>
      <c r="E204" s="6" t="s">
        <v>646</v>
      </c>
      <c r="F204" s="6" t="s">
        <v>4089</v>
      </c>
      <c r="G204" s="6" t="s">
        <v>552</v>
      </c>
      <c r="H204" s="6" t="s">
        <v>4126</v>
      </c>
      <c r="I204" s="6">
        <v>1</v>
      </c>
      <c r="J204" s="6">
        <v>11</v>
      </c>
      <c r="K204" s="6">
        <v>0</v>
      </c>
    </row>
    <row r="205" spans="1:11" ht="38.25" x14ac:dyDescent="0.2">
      <c r="A205" s="12" t="s">
        <v>1215</v>
      </c>
      <c r="B205" s="6" t="s">
        <v>1361</v>
      </c>
      <c r="C205" s="6" t="s">
        <v>1003</v>
      </c>
      <c r="D205" s="6" t="s">
        <v>1953</v>
      </c>
      <c r="E205" s="6" t="s">
        <v>553</v>
      </c>
      <c r="F205" s="6" t="s">
        <v>550</v>
      </c>
      <c r="G205" s="6" t="s">
        <v>552</v>
      </c>
      <c r="H205" s="6" t="s">
        <v>2524</v>
      </c>
      <c r="I205" s="6">
        <v>1</v>
      </c>
      <c r="J205" s="6">
        <v>3</v>
      </c>
      <c r="K205" s="6">
        <v>0</v>
      </c>
    </row>
    <row r="206" spans="1:11" ht="38.25" x14ac:dyDescent="0.2">
      <c r="A206" s="12" t="s">
        <v>1216</v>
      </c>
      <c r="B206" s="6" t="s">
        <v>1362</v>
      </c>
      <c r="C206" s="6" t="s">
        <v>1003</v>
      </c>
      <c r="D206" s="6" t="s">
        <v>1954</v>
      </c>
      <c r="E206" s="6" t="s">
        <v>553</v>
      </c>
      <c r="F206" s="6" t="s">
        <v>550</v>
      </c>
      <c r="G206" s="6" t="s">
        <v>552</v>
      </c>
      <c r="H206" s="6" t="s">
        <v>2524</v>
      </c>
      <c r="I206" s="6">
        <v>1</v>
      </c>
      <c r="J206" s="6">
        <v>3</v>
      </c>
      <c r="K206" s="6">
        <v>0</v>
      </c>
    </row>
    <row r="207" spans="1:11" x14ac:dyDescent="0.2">
      <c r="A207" s="6" t="s">
        <v>2984</v>
      </c>
      <c r="B207" s="6" t="s">
        <v>1356</v>
      </c>
      <c r="C207" s="6" t="s">
        <v>1003</v>
      </c>
      <c r="D207" s="6" t="s">
        <v>1948</v>
      </c>
      <c r="E207" s="6" t="s">
        <v>553</v>
      </c>
      <c r="F207" s="6" t="s">
        <v>550</v>
      </c>
      <c r="G207" s="6" t="s">
        <v>552</v>
      </c>
      <c r="H207" s="6" t="s">
        <v>2384</v>
      </c>
      <c r="I207" s="6">
        <v>1</v>
      </c>
      <c r="J207" s="6">
        <v>2</v>
      </c>
      <c r="K207" s="6">
        <v>0</v>
      </c>
    </row>
    <row r="208" spans="1:11" ht="38.25" x14ac:dyDescent="0.2">
      <c r="A208" s="8" t="s">
        <v>1217</v>
      </c>
      <c r="B208" s="6" t="s">
        <v>1363</v>
      </c>
      <c r="C208" s="6" t="s">
        <v>1003</v>
      </c>
      <c r="D208" s="6" t="s">
        <v>1955</v>
      </c>
      <c r="E208" s="6" t="s">
        <v>553</v>
      </c>
      <c r="F208" s="6" t="s">
        <v>550</v>
      </c>
      <c r="G208" s="6" t="s">
        <v>552</v>
      </c>
      <c r="H208" s="6" t="s">
        <v>2524</v>
      </c>
      <c r="I208" s="6">
        <v>1</v>
      </c>
      <c r="J208" s="6">
        <v>5</v>
      </c>
      <c r="K208" s="6">
        <v>0</v>
      </c>
    </row>
    <row r="209" spans="1:11" ht="38.25" x14ac:dyDescent="0.2">
      <c r="A209" s="11" t="s">
        <v>1218</v>
      </c>
      <c r="B209" s="6" t="s">
        <v>1364</v>
      </c>
      <c r="C209" s="6" t="s">
        <v>1003</v>
      </c>
      <c r="D209" s="6" t="s">
        <v>1956</v>
      </c>
      <c r="E209" s="6" t="s">
        <v>553</v>
      </c>
      <c r="F209" s="6" t="s">
        <v>550</v>
      </c>
      <c r="G209" s="6" t="s">
        <v>552</v>
      </c>
      <c r="H209" s="6" t="s">
        <v>2524</v>
      </c>
      <c r="I209" s="6">
        <v>1</v>
      </c>
      <c r="J209" s="6">
        <v>5</v>
      </c>
      <c r="K209" s="6">
        <v>0</v>
      </c>
    </row>
    <row r="210" spans="1:11" ht="38.25" x14ac:dyDescent="0.2">
      <c r="A210" s="11" t="s">
        <v>1213</v>
      </c>
      <c r="B210" s="6" t="s">
        <v>1359</v>
      </c>
      <c r="C210" s="6" t="s">
        <v>1003</v>
      </c>
      <c r="D210" s="6" t="s">
        <v>1951</v>
      </c>
      <c r="E210" s="6" t="s">
        <v>553</v>
      </c>
      <c r="F210" s="6" t="s">
        <v>550</v>
      </c>
      <c r="G210" s="6" t="s">
        <v>552</v>
      </c>
      <c r="H210" s="6" t="s">
        <v>2524</v>
      </c>
      <c r="I210" s="6">
        <v>1</v>
      </c>
      <c r="J210" s="6">
        <v>3</v>
      </c>
      <c r="K210" s="6">
        <v>0</v>
      </c>
    </row>
    <row r="211" spans="1:11" ht="38.25" x14ac:dyDescent="0.2">
      <c r="A211" s="6" t="s">
        <v>1214</v>
      </c>
      <c r="B211" s="6" t="s">
        <v>1360</v>
      </c>
      <c r="C211" s="6" t="s">
        <v>1003</v>
      </c>
      <c r="D211" s="6" t="s">
        <v>1952</v>
      </c>
      <c r="E211" s="6" t="s">
        <v>553</v>
      </c>
      <c r="F211" s="6" t="s">
        <v>550</v>
      </c>
      <c r="G211" s="6" t="s">
        <v>552</v>
      </c>
      <c r="H211" s="6" t="s">
        <v>2524</v>
      </c>
      <c r="I211" s="6">
        <v>1</v>
      </c>
      <c r="J211" s="6">
        <v>3</v>
      </c>
      <c r="K211" s="6">
        <v>0</v>
      </c>
    </row>
    <row r="212" spans="1:11" ht="38.25" x14ac:dyDescent="0.2">
      <c r="A212" s="6" t="s">
        <v>1211</v>
      </c>
      <c r="B212" s="6" t="s">
        <v>1357</v>
      </c>
      <c r="C212" s="6" t="s">
        <v>1003</v>
      </c>
      <c r="D212" s="6" t="s">
        <v>1949</v>
      </c>
      <c r="E212" s="6" t="s">
        <v>553</v>
      </c>
      <c r="F212" s="6" t="s">
        <v>550</v>
      </c>
      <c r="G212" s="6" t="s">
        <v>552</v>
      </c>
      <c r="H212" s="6" t="s">
        <v>2524</v>
      </c>
      <c r="I212" s="6">
        <v>1</v>
      </c>
      <c r="J212" s="6">
        <v>3</v>
      </c>
      <c r="K212" s="6">
        <v>0</v>
      </c>
    </row>
    <row r="213" spans="1:11" ht="38.25" x14ac:dyDescent="0.2">
      <c r="A213" s="11" t="s">
        <v>1212</v>
      </c>
      <c r="B213" s="6" t="s">
        <v>1358</v>
      </c>
      <c r="C213" s="6" t="s">
        <v>1003</v>
      </c>
      <c r="D213" s="6" t="s">
        <v>1950</v>
      </c>
      <c r="E213" s="6" t="s">
        <v>553</v>
      </c>
      <c r="F213" s="6" t="s">
        <v>550</v>
      </c>
      <c r="G213" s="6" t="s">
        <v>552</v>
      </c>
      <c r="H213" s="6" t="s">
        <v>2524</v>
      </c>
      <c r="I213" s="6">
        <v>1</v>
      </c>
      <c r="J213" s="6">
        <v>3</v>
      </c>
      <c r="K213" s="6">
        <v>0</v>
      </c>
    </row>
    <row r="214" spans="1:11" x14ac:dyDescent="0.2">
      <c r="A214" s="8" t="s">
        <v>1220</v>
      </c>
      <c r="B214" s="6" t="s">
        <v>1366</v>
      </c>
      <c r="C214" s="6" t="s">
        <v>1003</v>
      </c>
      <c r="D214" s="6" t="s">
        <v>1958</v>
      </c>
      <c r="E214" s="6" t="s">
        <v>553</v>
      </c>
      <c r="F214" s="6" t="s">
        <v>550</v>
      </c>
      <c r="G214" s="6" t="s">
        <v>552</v>
      </c>
      <c r="H214" s="6" t="s">
        <v>2384</v>
      </c>
      <c r="I214" s="6">
        <v>1</v>
      </c>
      <c r="J214" s="6">
        <v>6</v>
      </c>
      <c r="K214" s="6">
        <v>0</v>
      </c>
    </row>
    <row r="215" spans="1:11" x14ac:dyDescent="0.2">
      <c r="A215" s="11" t="s">
        <v>1219</v>
      </c>
      <c r="B215" s="6" t="s">
        <v>1365</v>
      </c>
      <c r="C215" s="13" t="s">
        <v>1003</v>
      </c>
      <c r="D215" s="6" t="s">
        <v>1957</v>
      </c>
      <c r="E215" s="6" t="s">
        <v>553</v>
      </c>
      <c r="F215" s="6" t="s">
        <v>550</v>
      </c>
      <c r="G215" s="6" t="s">
        <v>552</v>
      </c>
      <c r="H215" s="6" t="s">
        <v>2384</v>
      </c>
      <c r="I215" s="6">
        <v>1</v>
      </c>
      <c r="J215" s="6">
        <v>6</v>
      </c>
      <c r="K215" s="6">
        <v>0</v>
      </c>
    </row>
    <row r="216" spans="1:11" ht="25.5" x14ac:dyDescent="0.2">
      <c r="A216" s="11" t="s">
        <v>1221</v>
      </c>
      <c r="B216" s="6" t="s">
        <v>1367</v>
      </c>
      <c r="C216" s="6" t="s">
        <v>1003</v>
      </c>
      <c r="D216" s="6" t="s">
        <v>1959</v>
      </c>
      <c r="E216" s="6" t="s">
        <v>553</v>
      </c>
      <c r="F216" s="6" t="s">
        <v>550</v>
      </c>
      <c r="G216" s="6" t="s">
        <v>552</v>
      </c>
      <c r="H216" s="6" t="s">
        <v>2525</v>
      </c>
      <c r="I216" s="6">
        <v>1</v>
      </c>
      <c r="J216" s="6">
        <v>3</v>
      </c>
      <c r="K216" s="6">
        <v>0</v>
      </c>
    </row>
    <row r="217" spans="1:11" ht="51" x14ac:dyDescent="0.2">
      <c r="A217" s="6" t="s">
        <v>1275</v>
      </c>
      <c r="B217" s="6" t="s">
        <v>1396</v>
      </c>
      <c r="C217" s="6" t="s">
        <v>1028</v>
      </c>
      <c r="D217" s="6" t="s">
        <v>2120</v>
      </c>
      <c r="E217" s="6" t="s">
        <v>553</v>
      </c>
      <c r="F217" s="6" t="s">
        <v>550</v>
      </c>
      <c r="G217" s="6" t="s">
        <v>552</v>
      </c>
      <c r="H217" s="6" t="s">
        <v>2629</v>
      </c>
      <c r="I217" s="6">
        <v>1</v>
      </c>
      <c r="J217" s="6">
        <v>5</v>
      </c>
      <c r="K217" s="6">
        <v>0</v>
      </c>
    </row>
    <row r="218" spans="1:11" x14ac:dyDescent="0.2">
      <c r="A218" s="11" t="s">
        <v>1347</v>
      </c>
      <c r="B218" s="6" t="s">
        <v>1466</v>
      </c>
      <c r="C218" s="6" t="s">
        <v>1028</v>
      </c>
      <c r="D218" s="6" t="s">
        <v>2200</v>
      </c>
      <c r="E218" s="6" t="s">
        <v>553</v>
      </c>
      <c r="F218" s="6" t="s">
        <v>550</v>
      </c>
      <c r="G218" s="6" t="s">
        <v>552</v>
      </c>
      <c r="H218" s="6" t="s">
        <v>2384</v>
      </c>
      <c r="I218" s="6">
        <v>1</v>
      </c>
      <c r="J218" s="6">
        <v>3</v>
      </c>
      <c r="K218" s="6">
        <v>0</v>
      </c>
    </row>
    <row r="219" spans="1:11" ht="25.5" x14ac:dyDescent="0.2">
      <c r="A219" s="11" t="s">
        <v>1278</v>
      </c>
      <c r="B219" s="6" t="s">
        <v>1399</v>
      </c>
      <c r="C219" s="6" t="s">
        <v>1028</v>
      </c>
      <c r="D219" s="6" t="s">
        <v>2123</v>
      </c>
      <c r="E219" s="6" t="s">
        <v>553</v>
      </c>
      <c r="F219" s="6" t="s">
        <v>550</v>
      </c>
      <c r="G219" s="6" t="s">
        <v>552</v>
      </c>
      <c r="H219" s="14" t="s">
        <v>2632</v>
      </c>
      <c r="I219" s="6">
        <v>1</v>
      </c>
      <c r="J219" s="6">
        <v>2</v>
      </c>
      <c r="K219" s="6">
        <v>0</v>
      </c>
    </row>
    <row r="220" spans="1:11" ht="25.5" x14ac:dyDescent="0.2">
      <c r="A220" s="11" t="s">
        <v>1284</v>
      </c>
      <c r="B220" s="6" t="s">
        <v>1405</v>
      </c>
      <c r="C220" s="6" t="s">
        <v>1028</v>
      </c>
      <c r="D220" s="6" t="s">
        <v>2129</v>
      </c>
      <c r="E220" s="6" t="s">
        <v>553</v>
      </c>
      <c r="F220" s="6" t="s">
        <v>550</v>
      </c>
      <c r="G220" s="6" t="s">
        <v>552</v>
      </c>
      <c r="H220" s="6" t="s">
        <v>2632</v>
      </c>
      <c r="I220" s="6">
        <v>1</v>
      </c>
      <c r="J220" s="6">
        <v>2</v>
      </c>
      <c r="K220" s="6">
        <v>0</v>
      </c>
    </row>
    <row r="221" spans="1:11" ht="38.25" x14ac:dyDescent="0.2">
      <c r="A221" s="12" t="s">
        <v>1533</v>
      </c>
      <c r="B221" s="6" t="s">
        <v>1677</v>
      </c>
      <c r="C221" s="6" t="s">
        <v>1028</v>
      </c>
      <c r="D221" s="6" t="s">
        <v>2174</v>
      </c>
      <c r="E221" s="6" t="s">
        <v>553</v>
      </c>
      <c r="F221" s="6" t="s">
        <v>4326</v>
      </c>
      <c r="G221" s="6" t="s">
        <v>552</v>
      </c>
      <c r="H221" s="6" t="s">
        <v>2668</v>
      </c>
      <c r="I221" s="6">
        <v>1</v>
      </c>
      <c r="J221" s="6">
        <v>4</v>
      </c>
      <c r="K221" s="6">
        <v>0</v>
      </c>
    </row>
    <row r="222" spans="1:11" ht="51" x14ac:dyDescent="0.2">
      <c r="A222" s="8" t="s">
        <v>1534</v>
      </c>
      <c r="B222" s="13" t="s">
        <v>1678</v>
      </c>
      <c r="C222" s="13" t="s">
        <v>1028</v>
      </c>
      <c r="D222" s="6" t="s">
        <v>2175</v>
      </c>
      <c r="E222" s="6" t="s">
        <v>553</v>
      </c>
      <c r="F222" s="6" t="s">
        <v>4326</v>
      </c>
      <c r="G222" s="6" t="s">
        <v>552</v>
      </c>
      <c r="H222" s="6" t="s">
        <v>2669</v>
      </c>
      <c r="I222" s="6">
        <v>1</v>
      </c>
      <c r="J222" s="6">
        <v>4</v>
      </c>
      <c r="K222" s="6">
        <v>0</v>
      </c>
    </row>
    <row r="223" spans="1:11" ht="38.25" x14ac:dyDescent="0.2">
      <c r="A223" s="8" t="s">
        <v>1329</v>
      </c>
      <c r="B223" s="6" t="s">
        <v>1448</v>
      </c>
      <c r="C223" s="13" t="s">
        <v>1028</v>
      </c>
      <c r="D223" s="6" t="s">
        <v>2176</v>
      </c>
      <c r="E223" s="6" t="s">
        <v>553</v>
      </c>
      <c r="F223" s="6" t="s">
        <v>4326</v>
      </c>
      <c r="G223" s="6" t="s">
        <v>552</v>
      </c>
      <c r="H223" s="6" t="s">
        <v>2670</v>
      </c>
      <c r="I223" s="6">
        <v>1</v>
      </c>
      <c r="J223" s="6">
        <v>3</v>
      </c>
      <c r="K223" s="6">
        <v>0</v>
      </c>
    </row>
    <row r="224" spans="1:11" ht="63.75" x14ac:dyDescent="0.2">
      <c r="A224" s="7" t="s">
        <v>1330</v>
      </c>
      <c r="B224" s="6" t="s">
        <v>1449</v>
      </c>
      <c r="C224" s="6" t="s">
        <v>1028</v>
      </c>
      <c r="D224" s="6" t="s">
        <v>2177</v>
      </c>
      <c r="E224" s="6" t="s">
        <v>553</v>
      </c>
      <c r="F224" s="6" t="s">
        <v>4326</v>
      </c>
      <c r="G224" s="6" t="s">
        <v>552</v>
      </c>
      <c r="H224" s="14" t="s">
        <v>2586</v>
      </c>
      <c r="I224" s="6">
        <v>1</v>
      </c>
      <c r="J224" s="6">
        <v>5</v>
      </c>
      <c r="K224" s="6">
        <v>0</v>
      </c>
    </row>
    <row r="225" spans="1:11" x14ac:dyDescent="0.2">
      <c r="A225" s="7" t="s">
        <v>4075</v>
      </c>
      <c r="B225" s="6" t="s">
        <v>4116</v>
      </c>
      <c r="C225" s="6" t="s">
        <v>4387</v>
      </c>
      <c r="D225" s="6" t="s">
        <v>4076</v>
      </c>
      <c r="E225" s="6" t="s">
        <v>646</v>
      </c>
      <c r="F225" s="6" t="s">
        <v>550</v>
      </c>
      <c r="G225" s="6" t="s">
        <v>552</v>
      </c>
      <c r="H225" s="6" t="s">
        <v>785</v>
      </c>
      <c r="I225" s="6">
        <v>1</v>
      </c>
      <c r="J225" s="6">
        <v>8</v>
      </c>
      <c r="K225" s="6">
        <v>0</v>
      </c>
    </row>
    <row r="226" spans="1:11" ht="25.5" x14ac:dyDescent="0.2">
      <c r="A226" s="11" t="s">
        <v>2863</v>
      </c>
      <c r="B226" s="6" t="s">
        <v>918</v>
      </c>
      <c r="C226" s="6" t="s">
        <v>1159</v>
      </c>
      <c r="D226" s="6" t="s">
        <v>2864</v>
      </c>
      <c r="E226" s="6" t="s">
        <v>646</v>
      </c>
      <c r="F226" s="6" t="s">
        <v>1108</v>
      </c>
      <c r="G226" s="6" t="s">
        <v>552</v>
      </c>
      <c r="H226" s="6" t="s">
        <v>785</v>
      </c>
      <c r="I226" s="6">
        <v>1</v>
      </c>
      <c r="J226" s="6">
        <v>6</v>
      </c>
      <c r="K226" s="6">
        <v>0</v>
      </c>
    </row>
    <row r="227" spans="1:11" x14ac:dyDescent="0.2">
      <c r="A227" s="11" t="s">
        <v>2861</v>
      </c>
      <c r="B227" s="6" t="s">
        <v>917</v>
      </c>
      <c r="C227" s="6" t="s">
        <v>704</v>
      </c>
      <c r="D227" s="6" t="s">
        <v>2862</v>
      </c>
      <c r="E227" s="6" t="s">
        <v>646</v>
      </c>
      <c r="F227" s="6" t="s">
        <v>1065</v>
      </c>
      <c r="G227" s="6" t="s">
        <v>552</v>
      </c>
      <c r="H227" s="6" t="s">
        <v>785</v>
      </c>
      <c r="I227" s="6">
        <v>1</v>
      </c>
      <c r="J227" s="6">
        <v>1</v>
      </c>
      <c r="K227" s="6">
        <v>0</v>
      </c>
    </row>
    <row r="228" spans="1:11" ht="25.5" x14ac:dyDescent="0.2">
      <c r="A228" s="11" t="s">
        <v>2859</v>
      </c>
      <c r="B228" s="14" t="s">
        <v>916</v>
      </c>
      <c r="C228" s="6" t="s">
        <v>704</v>
      </c>
      <c r="D228" s="6" t="s">
        <v>2860</v>
      </c>
      <c r="E228" s="6" t="s">
        <v>646</v>
      </c>
      <c r="F228" s="6" t="s">
        <v>688</v>
      </c>
      <c r="G228" s="6" t="s">
        <v>552</v>
      </c>
      <c r="H228" s="6" t="s">
        <v>785</v>
      </c>
      <c r="I228" s="6">
        <v>1</v>
      </c>
      <c r="J228" s="6">
        <v>6</v>
      </c>
      <c r="K228" s="6">
        <v>0</v>
      </c>
    </row>
    <row r="229" spans="1:11" ht="25.5" x14ac:dyDescent="0.2">
      <c r="A229" s="12" t="s">
        <v>2853</v>
      </c>
      <c r="B229" s="6" t="s">
        <v>1928</v>
      </c>
      <c r="C229" s="6" t="s">
        <v>554</v>
      </c>
      <c r="D229" s="6" t="s">
        <v>2854</v>
      </c>
      <c r="E229" s="6" t="s">
        <v>553</v>
      </c>
      <c r="F229" s="6" t="s">
        <v>550</v>
      </c>
      <c r="G229" s="6" t="s">
        <v>552</v>
      </c>
      <c r="H229" s="6" t="s">
        <v>2243</v>
      </c>
      <c r="I229" s="6">
        <v>1</v>
      </c>
      <c r="J229" s="6">
        <v>9</v>
      </c>
      <c r="K229" s="6">
        <v>0</v>
      </c>
    </row>
    <row r="230" spans="1:11" ht="25.5" x14ac:dyDescent="0.2">
      <c r="A230" s="11" t="s">
        <v>2855</v>
      </c>
      <c r="B230" s="6" t="s">
        <v>1929</v>
      </c>
      <c r="C230" s="6" t="s">
        <v>554</v>
      </c>
      <c r="D230" s="6" t="s">
        <v>2856</v>
      </c>
      <c r="E230" s="6" t="s">
        <v>553</v>
      </c>
      <c r="F230" s="6" t="s">
        <v>1255</v>
      </c>
      <c r="G230" s="6" t="s">
        <v>552</v>
      </c>
      <c r="H230" s="6" t="s">
        <v>2244</v>
      </c>
      <c r="I230" s="6">
        <v>1</v>
      </c>
      <c r="J230" s="6">
        <v>3</v>
      </c>
      <c r="K230" s="6">
        <v>0</v>
      </c>
    </row>
    <row r="231" spans="1:11" ht="38.25" x14ac:dyDescent="0.2">
      <c r="A231" s="8" t="s">
        <v>4325</v>
      </c>
      <c r="B231" s="6" t="s">
        <v>4364</v>
      </c>
      <c r="C231" s="6" t="s">
        <v>554</v>
      </c>
      <c r="D231" s="6" t="s">
        <v>4327</v>
      </c>
      <c r="E231" s="6" t="s">
        <v>553</v>
      </c>
      <c r="F231" s="6" t="s">
        <v>4326</v>
      </c>
      <c r="G231" s="6" t="s">
        <v>552</v>
      </c>
      <c r="H231" s="6" t="s">
        <v>4333</v>
      </c>
      <c r="I231" s="6">
        <v>1</v>
      </c>
      <c r="J231" s="6">
        <v>3</v>
      </c>
      <c r="K231" s="6">
        <v>0</v>
      </c>
    </row>
    <row r="232" spans="1:11" ht="51" x14ac:dyDescent="0.2">
      <c r="A232" s="12" t="s">
        <v>2871</v>
      </c>
      <c r="B232" s="6" t="s">
        <v>780</v>
      </c>
      <c r="C232" s="6" t="s">
        <v>551</v>
      </c>
      <c r="D232" s="6" t="s">
        <v>2872</v>
      </c>
      <c r="E232" s="6" t="s">
        <v>553</v>
      </c>
      <c r="F232" s="6" t="s">
        <v>550</v>
      </c>
      <c r="G232" s="6" t="s">
        <v>552</v>
      </c>
      <c r="H232" s="6" t="s">
        <v>2265</v>
      </c>
      <c r="I232" s="6">
        <v>1</v>
      </c>
      <c r="J232" s="6">
        <v>1</v>
      </c>
      <c r="K232" s="6">
        <v>0</v>
      </c>
    </row>
    <row r="233" spans="1:11" ht="25.5" x14ac:dyDescent="0.2">
      <c r="A233" s="6" t="s">
        <v>2873</v>
      </c>
      <c r="B233" s="6" t="s">
        <v>1605</v>
      </c>
      <c r="C233" s="6" t="s">
        <v>551</v>
      </c>
      <c r="D233" s="6" t="s">
        <v>2874</v>
      </c>
      <c r="E233" s="6" t="s">
        <v>553</v>
      </c>
      <c r="F233" s="6" t="s">
        <v>1255</v>
      </c>
      <c r="G233" s="6" t="s">
        <v>552</v>
      </c>
      <c r="H233" s="6" t="s">
        <v>2266</v>
      </c>
      <c r="I233" s="6">
        <v>1</v>
      </c>
      <c r="J233" s="6">
        <v>1</v>
      </c>
      <c r="K233" s="6">
        <v>0</v>
      </c>
    </row>
    <row r="234" spans="1:11" ht="25.5" x14ac:dyDescent="0.2">
      <c r="A234" s="8" t="s">
        <v>2857</v>
      </c>
      <c r="B234" s="13" t="s">
        <v>860</v>
      </c>
      <c r="C234" s="6" t="s">
        <v>643</v>
      </c>
      <c r="D234" s="6" t="s">
        <v>2858</v>
      </c>
      <c r="E234" s="6" t="s">
        <v>553</v>
      </c>
      <c r="F234" s="6" t="s">
        <v>550</v>
      </c>
      <c r="G234" s="6" t="s">
        <v>552</v>
      </c>
      <c r="H234" s="6" t="s">
        <v>2494</v>
      </c>
      <c r="I234" s="6">
        <v>1</v>
      </c>
      <c r="J234" s="6">
        <v>1</v>
      </c>
      <c r="K234" s="6">
        <v>0</v>
      </c>
    </row>
    <row r="235" spans="1:11" x14ac:dyDescent="0.2">
      <c r="A235" s="8" t="s">
        <v>2865</v>
      </c>
      <c r="B235" s="6" t="s">
        <v>919</v>
      </c>
      <c r="C235" s="13" t="s">
        <v>705</v>
      </c>
      <c r="D235" s="6" t="s">
        <v>2866</v>
      </c>
      <c r="E235" s="6" t="s">
        <v>646</v>
      </c>
      <c r="F235" s="6" t="s">
        <v>550</v>
      </c>
      <c r="G235" s="6" t="s">
        <v>552</v>
      </c>
      <c r="H235" s="6" t="s">
        <v>785</v>
      </c>
      <c r="I235" s="6">
        <v>1</v>
      </c>
      <c r="J235" s="6">
        <v>2</v>
      </c>
      <c r="K235" s="6">
        <v>0</v>
      </c>
    </row>
    <row r="236" spans="1:11" x14ac:dyDescent="0.2">
      <c r="A236" s="11" t="s">
        <v>2869</v>
      </c>
      <c r="B236" s="6" t="s">
        <v>921</v>
      </c>
      <c r="C236" s="6" t="s">
        <v>705</v>
      </c>
      <c r="D236" s="6" t="s">
        <v>2870</v>
      </c>
      <c r="E236" s="6" t="s">
        <v>646</v>
      </c>
      <c r="F236" s="6" t="s">
        <v>707</v>
      </c>
      <c r="G236" s="6" t="s">
        <v>552</v>
      </c>
      <c r="H236" s="6" t="s">
        <v>785</v>
      </c>
      <c r="I236" s="6">
        <v>1</v>
      </c>
      <c r="J236" s="6">
        <v>8</v>
      </c>
      <c r="K236" s="6">
        <v>0</v>
      </c>
    </row>
    <row r="237" spans="1:11" x14ac:dyDescent="0.2">
      <c r="A237" s="12" t="s">
        <v>2867</v>
      </c>
      <c r="B237" s="6" t="s">
        <v>920</v>
      </c>
      <c r="C237" s="6" t="s">
        <v>705</v>
      </c>
      <c r="D237" s="6" t="s">
        <v>2868</v>
      </c>
      <c r="E237" s="6" t="s">
        <v>646</v>
      </c>
      <c r="F237" s="6" t="s">
        <v>706</v>
      </c>
      <c r="G237" s="6" t="s">
        <v>552</v>
      </c>
      <c r="H237" s="6" t="s">
        <v>785</v>
      </c>
      <c r="I237" s="6">
        <v>1</v>
      </c>
      <c r="J237" s="6">
        <v>17</v>
      </c>
      <c r="K237" s="6">
        <v>0</v>
      </c>
    </row>
    <row r="238" spans="1:11" x14ac:dyDescent="0.2">
      <c r="A238" s="9" t="s">
        <v>3913</v>
      </c>
      <c r="B238" s="6" t="s">
        <v>3960</v>
      </c>
      <c r="C238" s="6" t="s">
        <v>3836</v>
      </c>
      <c r="D238" s="6" t="s">
        <v>3915</v>
      </c>
      <c r="E238" s="6" t="s">
        <v>646</v>
      </c>
      <c r="F238" s="6" t="s">
        <v>3914</v>
      </c>
      <c r="G238" s="6" t="s">
        <v>552</v>
      </c>
      <c r="H238" s="6" t="s">
        <v>785</v>
      </c>
      <c r="I238" s="6">
        <v>1</v>
      </c>
      <c r="J238" s="6">
        <v>1</v>
      </c>
      <c r="K238" s="6">
        <v>0</v>
      </c>
    </row>
    <row r="239" spans="1:11" x14ac:dyDescent="0.2">
      <c r="A239" s="6" t="s">
        <v>1222</v>
      </c>
      <c r="B239" s="6" t="s">
        <v>1368</v>
      </c>
      <c r="C239" s="6" t="s">
        <v>1006</v>
      </c>
      <c r="D239" s="6" t="s">
        <v>1964</v>
      </c>
      <c r="E239" s="6" t="s">
        <v>553</v>
      </c>
      <c r="F239" s="6" t="s">
        <v>550</v>
      </c>
      <c r="G239" s="6" t="s">
        <v>552</v>
      </c>
      <c r="H239" s="6" t="s">
        <v>2384</v>
      </c>
      <c r="I239" s="6">
        <v>1</v>
      </c>
      <c r="J239" s="6">
        <v>2</v>
      </c>
      <c r="K239" s="6">
        <v>0</v>
      </c>
    </row>
    <row r="240" spans="1:11" ht="25.5" x14ac:dyDescent="0.2">
      <c r="A240" s="11" t="s">
        <v>1223</v>
      </c>
      <c r="B240" s="6" t="s">
        <v>1369</v>
      </c>
      <c r="C240" s="6" t="s">
        <v>1006</v>
      </c>
      <c r="D240" s="6" t="s">
        <v>1965</v>
      </c>
      <c r="E240" s="6" t="s">
        <v>553</v>
      </c>
      <c r="F240" s="6" t="s">
        <v>550</v>
      </c>
      <c r="G240" s="6" t="s">
        <v>552</v>
      </c>
      <c r="H240" s="6" t="s">
        <v>2530</v>
      </c>
      <c r="I240" s="6">
        <v>1</v>
      </c>
      <c r="J240" s="6">
        <v>2</v>
      </c>
      <c r="K240" s="6">
        <v>0</v>
      </c>
    </row>
    <row r="241" spans="1:11" ht="25.5" x14ac:dyDescent="0.2">
      <c r="A241" s="8" t="s">
        <v>1224</v>
      </c>
      <c r="B241" s="6" t="s">
        <v>1370</v>
      </c>
      <c r="C241" s="13" t="s">
        <v>1006</v>
      </c>
      <c r="D241" s="6" t="s">
        <v>1966</v>
      </c>
      <c r="E241" s="6" t="s">
        <v>553</v>
      </c>
      <c r="F241" s="6" t="s">
        <v>550</v>
      </c>
      <c r="G241" s="6" t="s">
        <v>552</v>
      </c>
      <c r="H241" s="6" t="s">
        <v>2531</v>
      </c>
      <c r="I241" s="6">
        <v>1</v>
      </c>
      <c r="J241" s="6">
        <v>3</v>
      </c>
      <c r="K241" s="6">
        <v>0</v>
      </c>
    </row>
    <row r="242" spans="1:11" ht="38.25" x14ac:dyDescent="0.2">
      <c r="A242" s="6" t="s">
        <v>1225</v>
      </c>
      <c r="B242" s="6" t="s">
        <v>1371</v>
      </c>
      <c r="C242" s="6" t="s">
        <v>1006</v>
      </c>
      <c r="D242" s="6" t="s">
        <v>1967</v>
      </c>
      <c r="E242" s="6" t="s">
        <v>553</v>
      </c>
      <c r="F242" s="6" t="s">
        <v>550</v>
      </c>
      <c r="G242" s="6" t="s">
        <v>552</v>
      </c>
      <c r="H242" s="6" t="s">
        <v>2532</v>
      </c>
      <c r="I242" s="6">
        <v>1</v>
      </c>
      <c r="J242" s="6">
        <v>3</v>
      </c>
      <c r="K242" s="6">
        <v>0</v>
      </c>
    </row>
    <row r="243" spans="1:11" ht="25.5" x14ac:dyDescent="0.2">
      <c r="A243" s="11" t="s">
        <v>1348</v>
      </c>
      <c r="B243" s="6" t="s">
        <v>1467</v>
      </c>
      <c r="C243" s="13" t="s">
        <v>1028</v>
      </c>
      <c r="D243" s="6" t="s">
        <v>2201</v>
      </c>
      <c r="E243" s="6" t="s">
        <v>553</v>
      </c>
      <c r="F243" s="6" t="s">
        <v>550</v>
      </c>
      <c r="G243" s="6" t="s">
        <v>552</v>
      </c>
      <c r="H243" s="6" t="s">
        <v>2633</v>
      </c>
      <c r="I243" s="6">
        <v>1</v>
      </c>
      <c r="J243" s="6">
        <v>2</v>
      </c>
      <c r="K243" s="6">
        <v>0</v>
      </c>
    </row>
    <row r="244" spans="1:11" ht="25.5" x14ac:dyDescent="0.2">
      <c r="A244" s="12" t="s">
        <v>1228</v>
      </c>
      <c r="B244" s="6" t="s">
        <v>1374</v>
      </c>
      <c r="C244" s="6" t="s">
        <v>1006</v>
      </c>
      <c r="D244" s="6" t="s">
        <v>1970</v>
      </c>
      <c r="E244" s="6" t="s">
        <v>553</v>
      </c>
      <c r="F244" s="6" t="s">
        <v>550</v>
      </c>
      <c r="G244" s="6" t="s">
        <v>552</v>
      </c>
      <c r="H244" s="6" t="s">
        <v>2530</v>
      </c>
      <c r="I244" s="6">
        <v>1</v>
      </c>
      <c r="J244" s="6">
        <v>2</v>
      </c>
      <c r="K244" s="6">
        <v>0</v>
      </c>
    </row>
    <row r="245" spans="1:11" ht="38.25" x14ac:dyDescent="0.2">
      <c r="A245" s="6" t="s">
        <v>1226</v>
      </c>
      <c r="B245" s="6" t="s">
        <v>1372</v>
      </c>
      <c r="C245" s="6" t="s">
        <v>1006</v>
      </c>
      <c r="D245" s="6" t="s">
        <v>1968</v>
      </c>
      <c r="E245" s="6" t="s">
        <v>553</v>
      </c>
      <c r="F245" s="6" t="s">
        <v>550</v>
      </c>
      <c r="G245" s="6" t="s">
        <v>552</v>
      </c>
      <c r="H245" s="6" t="s">
        <v>2533</v>
      </c>
      <c r="I245" s="6">
        <v>1</v>
      </c>
      <c r="J245" s="6">
        <v>2</v>
      </c>
      <c r="K245" s="6">
        <v>0</v>
      </c>
    </row>
    <row r="246" spans="1:11" ht="38.25" x14ac:dyDescent="0.2">
      <c r="A246" s="6" t="s">
        <v>1227</v>
      </c>
      <c r="B246" s="6" t="s">
        <v>1373</v>
      </c>
      <c r="C246" s="6" t="s">
        <v>1006</v>
      </c>
      <c r="D246" s="6" t="s">
        <v>1969</v>
      </c>
      <c r="E246" s="6" t="s">
        <v>553</v>
      </c>
      <c r="F246" s="6" t="s">
        <v>550</v>
      </c>
      <c r="G246" s="6" t="s">
        <v>552</v>
      </c>
      <c r="H246" s="6" t="s">
        <v>2534</v>
      </c>
      <c r="I246" s="6">
        <v>1</v>
      </c>
      <c r="J246" s="6">
        <v>3</v>
      </c>
      <c r="K246" s="6">
        <v>0</v>
      </c>
    </row>
    <row r="247" spans="1:11" ht="25.5" x14ac:dyDescent="0.2">
      <c r="A247" s="8" t="s">
        <v>1824</v>
      </c>
      <c r="B247" s="6" t="s">
        <v>1888</v>
      </c>
      <c r="C247" s="13" t="s">
        <v>1915</v>
      </c>
      <c r="D247" s="6" t="s">
        <v>2501</v>
      </c>
      <c r="E247" s="6" t="s">
        <v>646</v>
      </c>
      <c r="F247" s="6" t="s">
        <v>550</v>
      </c>
      <c r="G247" s="6" t="s">
        <v>552</v>
      </c>
      <c r="H247" s="6" t="s">
        <v>785</v>
      </c>
      <c r="I247" s="6">
        <v>1</v>
      </c>
      <c r="J247" s="6">
        <v>3</v>
      </c>
      <c r="K247" s="6">
        <v>0</v>
      </c>
    </row>
    <row r="248" spans="1:11" ht="51" x14ac:dyDescent="0.2">
      <c r="A248" s="12" t="s">
        <v>1349</v>
      </c>
      <c r="B248" s="6" t="s">
        <v>1468</v>
      </c>
      <c r="C248" s="6" t="s">
        <v>1028</v>
      </c>
      <c r="D248" s="6" t="s">
        <v>2202</v>
      </c>
      <c r="E248" s="6" t="s">
        <v>553</v>
      </c>
      <c r="F248" s="6" t="s">
        <v>550</v>
      </c>
      <c r="G248" s="6" t="s">
        <v>552</v>
      </c>
      <c r="H248" s="6" t="s">
        <v>2569</v>
      </c>
      <c r="I248" s="6">
        <v>1</v>
      </c>
      <c r="J248" s="6">
        <v>5</v>
      </c>
      <c r="K248" s="6">
        <v>0</v>
      </c>
    </row>
    <row r="249" spans="1:11" ht="38.25" x14ac:dyDescent="0.2">
      <c r="A249" s="7" t="s">
        <v>1230</v>
      </c>
      <c r="B249" s="6" t="s">
        <v>1384</v>
      </c>
      <c r="C249" s="6" t="s">
        <v>1028</v>
      </c>
      <c r="D249" s="6" t="s">
        <v>2214</v>
      </c>
      <c r="E249" s="6" t="s">
        <v>553</v>
      </c>
      <c r="F249" s="6" t="s">
        <v>550</v>
      </c>
      <c r="G249" s="6" t="s">
        <v>552</v>
      </c>
      <c r="H249" s="6" t="s">
        <v>2627</v>
      </c>
      <c r="I249" s="6">
        <v>1</v>
      </c>
      <c r="J249" s="6">
        <v>2</v>
      </c>
      <c r="K249" s="6">
        <v>0</v>
      </c>
    </row>
    <row r="250" spans="1:11" ht="25.5" x14ac:dyDescent="0.2">
      <c r="A250" s="11" t="s">
        <v>2989</v>
      </c>
      <c r="B250" s="6" t="s">
        <v>1169</v>
      </c>
      <c r="C250" s="6" t="s">
        <v>4032</v>
      </c>
      <c r="D250" s="6" t="s">
        <v>2358</v>
      </c>
      <c r="E250" s="6" t="s">
        <v>646</v>
      </c>
      <c r="F250" s="6" t="s">
        <v>1131</v>
      </c>
      <c r="G250" s="6" t="s">
        <v>552</v>
      </c>
      <c r="H250" s="6" t="s">
        <v>2521</v>
      </c>
      <c r="I250" s="6">
        <v>1</v>
      </c>
      <c r="J250" s="6">
        <v>8</v>
      </c>
      <c r="K250" s="6">
        <v>0</v>
      </c>
    </row>
    <row r="251" spans="1:11" ht="25.5" x14ac:dyDescent="0.2">
      <c r="A251" s="11" t="s">
        <v>4057</v>
      </c>
      <c r="B251" s="6" t="s">
        <v>4106</v>
      </c>
      <c r="C251" s="6" t="s">
        <v>4387</v>
      </c>
      <c r="D251" s="6" t="s">
        <v>4058</v>
      </c>
      <c r="E251" s="6" t="s">
        <v>646</v>
      </c>
      <c r="F251" s="6" t="s">
        <v>550</v>
      </c>
      <c r="G251" s="6" t="s">
        <v>552</v>
      </c>
      <c r="H251" s="6" t="s">
        <v>785</v>
      </c>
      <c r="I251" s="6">
        <v>1</v>
      </c>
      <c r="J251" s="6">
        <v>1</v>
      </c>
      <c r="K251" s="6">
        <v>0</v>
      </c>
    </row>
    <row r="252" spans="1:11" ht="63.75" x14ac:dyDescent="0.2">
      <c r="A252" s="11" t="s">
        <v>3122</v>
      </c>
      <c r="B252" s="6" t="s">
        <v>3172</v>
      </c>
      <c r="C252" s="6" t="s">
        <v>4032</v>
      </c>
      <c r="D252" s="6" t="s">
        <v>3124</v>
      </c>
      <c r="E252" s="6" t="s">
        <v>646</v>
      </c>
      <c r="F252" s="6" t="s">
        <v>3123</v>
      </c>
      <c r="G252" s="6" t="s">
        <v>552</v>
      </c>
      <c r="H252" s="14" t="s">
        <v>2379</v>
      </c>
      <c r="I252" s="6">
        <v>1</v>
      </c>
      <c r="J252" s="6">
        <v>22</v>
      </c>
      <c r="K252" s="6">
        <v>0</v>
      </c>
    </row>
    <row r="253" spans="1:11" ht="25.5" x14ac:dyDescent="0.2">
      <c r="A253" s="8" t="s">
        <v>631</v>
      </c>
      <c r="B253" s="6" t="s">
        <v>830</v>
      </c>
      <c r="C253" s="6" t="s">
        <v>1739</v>
      </c>
      <c r="D253" s="6" t="s">
        <v>2019</v>
      </c>
      <c r="E253" s="6" t="s">
        <v>646</v>
      </c>
      <c r="F253" s="6" t="s">
        <v>550</v>
      </c>
      <c r="G253" s="6" t="s">
        <v>552</v>
      </c>
      <c r="H253" s="6" t="s">
        <v>2020</v>
      </c>
      <c r="I253" s="6">
        <v>1</v>
      </c>
      <c r="J253" s="6">
        <v>11</v>
      </c>
      <c r="K253" s="6">
        <v>0</v>
      </c>
    </row>
    <row r="254" spans="1:11" ht="76.5" x14ac:dyDescent="0.2">
      <c r="A254" s="11" t="s">
        <v>606</v>
      </c>
      <c r="B254" s="6" t="s">
        <v>833</v>
      </c>
      <c r="C254" s="6" t="s">
        <v>1748</v>
      </c>
      <c r="D254" s="6" t="s">
        <v>2471</v>
      </c>
      <c r="E254" s="6" t="s">
        <v>646</v>
      </c>
      <c r="F254" s="6" t="s">
        <v>550</v>
      </c>
      <c r="G254" s="6" t="s">
        <v>552</v>
      </c>
      <c r="H254" s="6" t="s">
        <v>2828</v>
      </c>
      <c r="I254" s="6">
        <v>1</v>
      </c>
      <c r="J254" s="6">
        <v>32</v>
      </c>
      <c r="K254" s="6">
        <v>0</v>
      </c>
    </row>
    <row r="255" spans="1:11" x14ac:dyDescent="0.2">
      <c r="A255" s="6" t="s">
        <v>2987</v>
      </c>
      <c r="B255" s="6" t="s">
        <v>3171</v>
      </c>
      <c r="C255" s="6" t="s">
        <v>4032</v>
      </c>
      <c r="D255" s="6" t="s">
        <v>2988</v>
      </c>
      <c r="E255" s="6" t="s">
        <v>646</v>
      </c>
      <c r="F255" s="6" t="s">
        <v>550</v>
      </c>
      <c r="G255" s="6" t="s">
        <v>552</v>
      </c>
      <c r="H255" s="6" t="s">
        <v>2357</v>
      </c>
      <c r="I255" s="6">
        <v>1</v>
      </c>
      <c r="J255" s="6">
        <v>15</v>
      </c>
      <c r="K255" s="6">
        <v>0</v>
      </c>
    </row>
    <row r="256" spans="1:11" ht="25.5" x14ac:dyDescent="0.2">
      <c r="A256" s="11" t="s">
        <v>1010</v>
      </c>
      <c r="B256" s="6" t="s">
        <v>1152</v>
      </c>
      <c r="C256" s="6" t="s">
        <v>1910</v>
      </c>
      <c r="D256" s="6" t="s">
        <v>2001</v>
      </c>
      <c r="E256" s="6" t="s">
        <v>646</v>
      </c>
      <c r="F256" s="6" t="s">
        <v>1064</v>
      </c>
      <c r="G256" s="6" t="s">
        <v>552</v>
      </c>
      <c r="H256" s="6" t="s">
        <v>2250</v>
      </c>
      <c r="I256" s="6">
        <v>1</v>
      </c>
      <c r="J256" s="6">
        <v>22</v>
      </c>
      <c r="K256" s="6">
        <v>-4</v>
      </c>
    </row>
    <row r="257" spans="1:11" ht="25.5" x14ac:dyDescent="0.2">
      <c r="A257" s="8" t="s">
        <v>1797</v>
      </c>
      <c r="B257" s="6" t="s">
        <v>1866</v>
      </c>
      <c r="C257" s="6" t="s">
        <v>4319</v>
      </c>
      <c r="D257" s="6" t="s">
        <v>2454</v>
      </c>
      <c r="E257" s="6" t="s">
        <v>646</v>
      </c>
      <c r="F257" s="6" t="s">
        <v>550</v>
      </c>
      <c r="G257" s="6" t="s">
        <v>552</v>
      </c>
      <c r="H257" s="6" t="s">
        <v>2437</v>
      </c>
      <c r="I257" s="6">
        <v>1</v>
      </c>
      <c r="J257" s="6">
        <v>4</v>
      </c>
      <c r="K257" s="6">
        <v>-1</v>
      </c>
    </row>
    <row r="258" spans="1:11" x14ac:dyDescent="0.2">
      <c r="A258" s="6" t="s">
        <v>728</v>
      </c>
      <c r="B258" s="6" t="s">
        <v>942</v>
      </c>
      <c r="C258" s="6" t="s">
        <v>4321</v>
      </c>
      <c r="D258" s="6" t="s">
        <v>2350</v>
      </c>
      <c r="E258" s="6" t="s">
        <v>646</v>
      </c>
      <c r="F258" s="6" t="s">
        <v>550</v>
      </c>
      <c r="G258" s="6" t="s">
        <v>552</v>
      </c>
      <c r="H258" s="6" t="s">
        <v>2349</v>
      </c>
      <c r="I258" s="6">
        <v>1</v>
      </c>
      <c r="J258" s="6">
        <v>6</v>
      </c>
      <c r="K258" s="6">
        <v>-3</v>
      </c>
    </row>
    <row r="259" spans="1:11" ht="25.5" x14ac:dyDescent="0.2">
      <c r="A259" s="11" t="s">
        <v>1817</v>
      </c>
      <c r="B259" s="6" t="s">
        <v>942</v>
      </c>
      <c r="C259" s="6" t="s">
        <v>2910</v>
      </c>
      <c r="D259" s="6" t="s">
        <v>2490</v>
      </c>
      <c r="E259" s="6" t="s">
        <v>646</v>
      </c>
      <c r="F259" s="6" t="s">
        <v>550</v>
      </c>
      <c r="G259" s="6" t="s">
        <v>552</v>
      </c>
      <c r="H259" s="6" t="s">
        <v>785</v>
      </c>
      <c r="I259" s="6">
        <v>1</v>
      </c>
      <c r="J259" s="6">
        <v>8</v>
      </c>
      <c r="K259" s="6">
        <v>-3</v>
      </c>
    </row>
    <row r="260" spans="1:11" ht="25.5" x14ac:dyDescent="0.2">
      <c r="A260" s="12" t="s">
        <v>618</v>
      </c>
      <c r="B260" s="6" t="s">
        <v>841</v>
      </c>
      <c r="C260" s="6" t="s">
        <v>1748</v>
      </c>
      <c r="D260" s="6" t="s">
        <v>2479</v>
      </c>
      <c r="E260" s="6" t="s">
        <v>646</v>
      </c>
      <c r="F260" s="6" t="s">
        <v>1077</v>
      </c>
      <c r="G260" s="6" t="s">
        <v>552</v>
      </c>
      <c r="H260" s="6" t="s">
        <v>785</v>
      </c>
      <c r="I260" s="6">
        <v>1</v>
      </c>
      <c r="J260" s="6">
        <v>9</v>
      </c>
      <c r="K260" s="6">
        <v>-4</v>
      </c>
    </row>
    <row r="261" spans="1:11" x14ac:dyDescent="0.2">
      <c r="A261" s="11" t="s">
        <v>4079</v>
      </c>
      <c r="B261" s="6" t="s">
        <v>942</v>
      </c>
      <c r="C261" s="6" t="s">
        <v>4387</v>
      </c>
      <c r="D261" s="6" t="s">
        <v>4080</v>
      </c>
      <c r="E261" s="6" t="s">
        <v>646</v>
      </c>
      <c r="F261" s="6" t="s">
        <v>550</v>
      </c>
      <c r="G261" s="6" t="s">
        <v>552</v>
      </c>
      <c r="H261" s="6" t="s">
        <v>785</v>
      </c>
      <c r="I261" s="6">
        <v>1</v>
      </c>
      <c r="J261" s="6">
        <v>4</v>
      </c>
      <c r="K261" s="6">
        <v>-2</v>
      </c>
    </row>
    <row r="262" spans="1:11" ht="25.5" x14ac:dyDescent="0.2">
      <c r="A262" s="7" t="s">
        <v>609</v>
      </c>
      <c r="B262" s="6" t="s">
        <v>835</v>
      </c>
      <c r="C262" s="6" t="s">
        <v>1748</v>
      </c>
      <c r="D262" s="6" t="s">
        <v>2473</v>
      </c>
      <c r="E262" s="6" t="s">
        <v>646</v>
      </c>
      <c r="F262" s="6" t="s">
        <v>1076</v>
      </c>
      <c r="G262" s="6" t="s">
        <v>552</v>
      </c>
      <c r="H262" s="6" t="s">
        <v>785</v>
      </c>
      <c r="I262" s="6">
        <v>1</v>
      </c>
      <c r="J262" s="6">
        <v>1</v>
      </c>
      <c r="K262" s="6">
        <v>-1</v>
      </c>
    </row>
    <row r="263" spans="1:11" x14ac:dyDescent="0.2">
      <c r="A263" s="6" t="s">
        <v>1597</v>
      </c>
      <c r="B263" s="6" t="s">
        <v>922</v>
      </c>
      <c r="C263" s="6" t="s">
        <v>4208</v>
      </c>
      <c r="D263" s="6" t="s">
        <v>2388</v>
      </c>
      <c r="E263" s="6" t="s">
        <v>646</v>
      </c>
      <c r="F263" s="6" t="s">
        <v>1053</v>
      </c>
      <c r="G263" s="6" t="s">
        <v>552</v>
      </c>
      <c r="H263" s="6" t="s">
        <v>785</v>
      </c>
      <c r="I263" s="6">
        <v>1</v>
      </c>
      <c r="J263" s="6">
        <v>11</v>
      </c>
      <c r="K263" s="6">
        <v>-3</v>
      </c>
    </row>
    <row r="264" spans="1:11" x14ac:dyDescent="0.2">
      <c r="A264" s="8" t="s">
        <v>1598</v>
      </c>
      <c r="B264" s="6" t="s">
        <v>942</v>
      </c>
      <c r="C264" s="6" t="s">
        <v>4208</v>
      </c>
      <c r="D264" s="6" t="s">
        <v>2399</v>
      </c>
      <c r="E264" s="6" t="s">
        <v>646</v>
      </c>
      <c r="F264" s="6" t="s">
        <v>550</v>
      </c>
      <c r="G264" s="6" t="s">
        <v>552</v>
      </c>
      <c r="H264" s="6" t="s">
        <v>2391</v>
      </c>
      <c r="I264" s="6">
        <v>1</v>
      </c>
      <c r="J264" s="6">
        <v>3</v>
      </c>
      <c r="K264" s="6">
        <v>-3</v>
      </c>
    </row>
    <row r="265" spans="1:11" x14ac:dyDescent="0.2">
      <c r="A265" s="12" t="s">
        <v>678</v>
      </c>
      <c r="B265" s="6" t="s">
        <v>830</v>
      </c>
      <c r="C265" s="6" t="s">
        <v>1487</v>
      </c>
      <c r="D265" s="6" t="s">
        <v>2326</v>
      </c>
      <c r="E265" s="6" t="s">
        <v>646</v>
      </c>
      <c r="F265" s="6" t="s">
        <v>550</v>
      </c>
      <c r="G265" s="6" t="s">
        <v>552</v>
      </c>
      <c r="H265" s="6" t="s">
        <v>2327</v>
      </c>
      <c r="I265" s="6">
        <v>1</v>
      </c>
      <c r="J265" s="6">
        <v>12</v>
      </c>
      <c r="K265" s="6">
        <v>0</v>
      </c>
    </row>
    <row r="266" spans="1:11" ht="25.5" x14ac:dyDescent="0.2">
      <c r="A266" s="6" t="s">
        <v>654</v>
      </c>
      <c r="B266" s="6" t="s">
        <v>874</v>
      </c>
      <c r="C266" s="6" t="s">
        <v>4381</v>
      </c>
      <c r="D266" s="6" t="s">
        <v>2518</v>
      </c>
      <c r="E266" s="6" t="s">
        <v>646</v>
      </c>
      <c r="F266" s="6" t="s">
        <v>550</v>
      </c>
      <c r="G266" s="6" t="s">
        <v>552</v>
      </c>
      <c r="H266" s="6" t="s">
        <v>2515</v>
      </c>
      <c r="I266" s="6">
        <v>1</v>
      </c>
      <c r="J266" s="6">
        <v>2</v>
      </c>
      <c r="K266" s="6">
        <v>0</v>
      </c>
    </row>
    <row r="267" spans="1:11" ht="25.5" x14ac:dyDescent="0.2">
      <c r="A267" s="8" t="s">
        <v>4189</v>
      </c>
      <c r="B267" s="6" t="s">
        <v>4203</v>
      </c>
      <c r="C267" s="6" t="s">
        <v>4387</v>
      </c>
      <c r="D267" s="6" t="s">
        <v>4190</v>
      </c>
      <c r="E267" s="6" t="s">
        <v>646</v>
      </c>
      <c r="F267" s="6" t="s">
        <v>550</v>
      </c>
      <c r="G267" s="6" t="s">
        <v>552</v>
      </c>
      <c r="H267" s="6" t="s">
        <v>4204</v>
      </c>
      <c r="I267" s="6">
        <v>1</v>
      </c>
      <c r="J267" s="6">
        <v>7</v>
      </c>
      <c r="K267" s="6">
        <v>0</v>
      </c>
    </row>
    <row r="268" spans="1:11" ht="25.5" x14ac:dyDescent="0.2">
      <c r="A268" s="11" t="s">
        <v>619</v>
      </c>
      <c r="B268" s="6" t="s">
        <v>842</v>
      </c>
      <c r="C268" s="6" t="s">
        <v>1748</v>
      </c>
      <c r="D268" s="6" t="s">
        <v>2480</v>
      </c>
      <c r="E268" s="6" t="s">
        <v>646</v>
      </c>
      <c r="F268" s="6" t="s">
        <v>1078</v>
      </c>
      <c r="G268" s="6" t="s">
        <v>552</v>
      </c>
      <c r="H268" s="6" t="s">
        <v>785</v>
      </c>
      <c r="I268" s="6">
        <v>1</v>
      </c>
      <c r="J268" s="6">
        <v>9</v>
      </c>
      <c r="K268" s="6">
        <v>0</v>
      </c>
    </row>
    <row r="269" spans="1:11" ht="25.5" x14ac:dyDescent="0.2">
      <c r="A269" s="12" t="s">
        <v>1785</v>
      </c>
      <c r="B269" s="6" t="s">
        <v>1854</v>
      </c>
      <c r="C269" s="6" t="s">
        <v>4319</v>
      </c>
      <c r="D269" s="6" t="s">
        <v>2435</v>
      </c>
      <c r="E269" s="6" t="s">
        <v>646</v>
      </c>
      <c r="F269" s="6" t="s">
        <v>1786</v>
      </c>
      <c r="G269" s="6" t="s">
        <v>552</v>
      </c>
      <c r="H269" s="6" t="s">
        <v>785</v>
      </c>
      <c r="I269" s="6">
        <v>1</v>
      </c>
      <c r="J269" s="6">
        <v>7</v>
      </c>
      <c r="K269" s="6">
        <v>0</v>
      </c>
    </row>
    <row r="270" spans="1:11" x14ac:dyDescent="0.2">
      <c r="A270" s="11" t="s">
        <v>1352</v>
      </c>
      <c r="B270" s="13" t="s">
        <v>1693</v>
      </c>
      <c r="C270" s="6" t="s">
        <v>1040</v>
      </c>
      <c r="D270" s="6" t="s">
        <v>2252</v>
      </c>
      <c r="E270" s="6" t="s">
        <v>553</v>
      </c>
      <c r="F270" s="6" t="s">
        <v>550</v>
      </c>
      <c r="G270" s="6" t="s">
        <v>552</v>
      </c>
      <c r="H270" s="6" t="s">
        <v>785</v>
      </c>
      <c r="I270" s="6">
        <v>1</v>
      </c>
      <c r="J270" s="6">
        <v>2</v>
      </c>
      <c r="K270" s="6">
        <v>0</v>
      </c>
    </row>
    <row r="271" spans="1:11" x14ac:dyDescent="0.2">
      <c r="A271" s="12" t="s">
        <v>1353</v>
      </c>
      <c r="B271" s="6" t="s">
        <v>1694</v>
      </c>
      <c r="C271" s="6" t="s">
        <v>1040</v>
      </c>
      <c r="D271" s="6" t="s">
        <v>2253</v>
      </c>
      <c r="E271" s="6" t="s">
        <v>553</v>
      </c>
      <c r="F271" s="6" t="s">
        <v>550</v>
      </c>
      <c r="G271" s="6" t="s">
        <v>552</v>
      </c>
      <c r="H271" s="6" t="s">
        <v>785</v>
      </c>
      <c r="I271" s="6">
        <v>1</v>
      </c>
      <c r="J271" s="6">
        <v>1</v>
      </c>
      <c r="K271" s="6">
        <v>0</v>
      </c>
    </row>
    <row r="272" spans="1:11" ht="25.5" x14ac:dyDescent="0.2">
      <c r="A272" s="12" t="s">
        <v>1354</v>
      </c>
      <c r="B272" s="14" t="s">
        <v>1695</v>
      </c>
      <c r="C272" s="6" t="s">
        <v>1040</v>
      </c>
      <c r="D272" s="6" t="s">
        <v>2254</v>
      </c>
      <c r="E272" s="6" t="s">
        <v>553</v>
      </c>
      <c r="F272" s="6" t="s">
        <v>1255</v>
      </c>
      <c r="G272" s="6" t="s">
        <v>552</v>
      </c>
      <c r="H272" s="6" t="s">
        <v>785</v>
      </c>
      <c r="I272" s="6">
        <v>1</v>
      </c>
      <c r="J272" s="6">
        <v>2</v>
      </c>
      <c r="K272" s="6">
        <v>0</v>
      </c>
    </row>
    <row r="273" spans="1:11" x14ac:dyDescent="0.2">
      <c r="A273" s="12" t="s">
        <v>1355</v>
      </c>
      <c r="B273" s="6" t="s">
        <v>1696</v>
      </c>
      <c r="C273" s="6" t="s">
        <v>1040</v>
      </c>
      <c r="D273" s="6" t="s">
        <v>2255</v>
      </c>
      <c r="E273" s="6" t="s">
        <v>553</v>
      </c>
      <c r="F273" s="6" t="s">
        <v>550</v>
      </c>
      <c r="G273" s="6" t="s">
        <v>552</v>
      </c>
      <c r="H273" s="6" t="s">
        <v>785</v>
      </c>
      <c r="I273" s="6">
        <v>1</v>
      </c>
      <c r="J273" s="6">
        <v>2</v>
      </c>
      <c r="K273" s="6">
        <v>0</v>
      </c>
    </row>
    <row r="274" spans="1:11" x14ac:dyDescent="0.2">
      <c r="A274" s="8" t="s">
        <v>1583</v>
      </c>
      <c r="B274" s="6" t="s">
        <v>1717</v>
      </c>
      <c r="C274" s="6" t="s">
        <v>4381</v>
      </c>
      <c r="D274" s="6" t="s">
        <v>2508</v>
      </c>
      <c r="E274" s="6" t="s">
        <v>646</v>
      </c>
      <c r="F274" s="6" t="s">
        <v>587</v>
      </c>
      <c r="G274" s="6" t="s">
        <v>552</v>
      </c>
      <c r="H274" s="6" t="s">
        <v>785</v>
      </c>
      <c r="I274" s="6">
        <v>1</v>
      </c>
      <c r="J274" s="6">
        <v>7</v>
      </c>
      <c r="K274" s="6">
        <v>0</v>
      </c>
    </row>
    <row r="275" spans="1:11" x14ac:dyDescent="0.2">
      <c r="A275" s="11" t="s">
        <v>3852</v>
      </c>
      <c r="B275" s="6" t="s">
        <v>3921</v>
      </c>
      <c r="C275" s="6" t="s">
        <v>3829</v>
      </c>
      <c r="D275" s="6" t="s">
        <v>3853</v>
      </c>
      <c r="E275" s="6" t="s">
        <v>553</v>
      </c>
      <c r="F275" s="6" t="s">
        <v>550</v>
      </c>
      <c r="G275" s="6" t="s">
        <v>552</v>
      </c>
      <c r="H275" s="6" t="s">
        <v>3887</v>
      </c>
      <c r="I275" s="6">
        <v>1</v>
      </c>
      <c r="J275" s="6">
        <v>1</v>
      </c>
      <c r="K275" s="6">
        <v>0</v>
      </c>
    </row>
    <row r="276" spans="1:11" x14ac:dyDescent="0.2">
      <c r="A276" s="6" t="s">
        <v>3854</v>
      </c>
      <c r="B276" s="6" t="s">
        <v>3922</v>
      </c>
      <c r="C276" s="6" t="s">
        <v>3829</v>
      </c>
      <c r="D276" s="6" t="s">
        <v>3855</v>
      </c>
      <c r="E276" s="6" t="s">
        <v>553</v>
      </c>
      <c r="F276" s="6" t="s">
        <v>550</v>
      </c>
      <c r="G276" s="6" t="s">
        <v>552</v>
      </c>
      <c r="H276" s="6" t="s">
        <v>3887</v>
      </c>
      <c r="I276" s="6">
        <v>1</v>
      </c>
      <c r="J276" s="6">
        <v>1</v>
      </c>
      <c r="K276" s="6">
        <v>0</v>
      </c>
    </row>
    <row r="277" spans="1:11" x14ac:dyDescent="0.2">
      <c r="A277" s="12" t="s">
        <v>3856</v>
      </c>
      <c r="B277" s="6" t="s">
        <v>3923</v>
      </c>
      <c r="C277" s="6" t="s">
        <v>3829</v>
      </c>
      <c r="D277" s="6" t="s">
        <v>3857</v>
      </c>
      <c r="E277" s="6" t="s">
        <v>553</v>
      </c>
      <c r="F277" s="6" t="s">
        <v>550</v>
      </c>
      <c r="G277" s="6" t="s">
        <v>552</v>
      </c>
      <c r="H277" s="6" t="s">
        <v>3889</v>
      </c>
      <c r="I277" s="6">
        <v>1</v>
      </c>
      <c r="J277" s="6">
        <v>2</v>
      </c>
      <c r="K277" s="6">
        <v>0</v>
      </c>
    </row>
    <row r="278" spans="1:11" x14ac:dyDescent="0.2">
      <c r="A278" s="11" t="s">
        <v>3858</v>
      </c>
      <c r="B278" s="6" t="s">
        <v>3924</v>
      </c>
      <c r="C278" s="6" t="s">
        <v>3829</v>
      </c>
      <c r="D278" s="6" t="s">
        <v>3859</v>
      </c>
      <c r="E278" s="6" t="s">
        <v>553</v>
      </c>
      <c r="F278" s="6" t="s">
        <v>550</v>
      </c>
      <c r="G278" s="6" t="s">
        <v>552</v>
      </c>
      <c r="H278" s="6" t="s">
        <v>3887</v>
      </c>
      <c r="I278" s="6">
        <v>1</v>
      </c>
      <c r="J278" s="6">
        <v>1</v>
      </c>
      <c r="K278" s="6">
        <v>0</v>
      </c>
    </row>
    <row r="279" spans="1:11" x14ac:dyDescent="0.2">
      <c r="A279" s="8" t="s">
        <v>3860</v>
      </c>
      <c r="B279" s="6" t="s">
        <v>3925</v>
      </c>
      <c r="C279" s="6" t="s">
        <v>3829</v>
      </c>
      <c r="D279" s="6" t="s">
        <v>3861</v>
      </c>
      <c r="E279" s="6" t="s">
        <v>553</v>
      </c>
      <c r="F279" s="6" t="s">
        <v>550</v>
      </c>
      <c r="G279" s="6" t="s">
        <v>552</v>
      </c>
      <c r="H279" s="6" t="s">
        <v>3887</v>
      </c>
      <c r="I279" s="6">
        <v>1</v>
      </c>
      <c r="J279" s="6">
        <v>1</v>
      </c>
      <c r="K279" s="6">
        <v>0</v>
      </c>
    </row>
    <row r="280" spans="1:11" x14ac:dyDescent="0.2">
      <c r="A280" s="6" t="s">
        <v>3862</v>
      </c>
      <c r="B280" s="6" t="s">
        <v>3927</v>
      </c>
      <c r="C280" s="6" t="s">
        <v>3829</v>
      </c>
      <c r="D280" s="6" t="s">
        <v>3863</v>
      </c>
      <c r="E280" s="6" t="s">
        <v>553</v>
      </c>
      <c r="F280" s="6" t="s">
        <v>550</v>
      </c>
      <c r="G280" s="6" t="s">
        <v>552</v>
      </c>
      <c r="H280" s="6" t="s">
        <v>785</v>
      </c>
      <c r="I280" s="6">
        <v>1</v>
      </c>
      <c r="J280" s="6">
        <v>1</v>
      </c>
      <c r="K280" s="6">
        <v>0</v>
      </c>
    </row>
    <row r="281" spans="1:11" ht="25.5" x14ac:dyDescent="0.2">
      <c r="A281" s="10" t="s">
        <v>3864</v>
      </c>
      <c r="B281" s="250" t="s">
        <v>3957</v>
      </c>
      <c r="C281" s="13" t="s">
        <v>3829</v>
      </c>
      <c r="D281" s="6" t="s">
        <v>3865</v>
      </c>
      <c r="E281" s="6" t="s">
        <v>553</v>
      </c>
      <c r="F281" s="6" t="s">
        <v>550</v>
      </c>
      <c r="G281" s="6" t="s">
        <v>552</v>
      </c>
      <c r="H281" s="6" t="s">
        <v>785</v>
      </c>
      <c r="I281" s="6">
        <v>1</v>
      </c>
      <c r="J281" s="6">
        <v>5</v>
      </c>
      <c r="K281" s="6">
        <v>0</v>
      </c>
    </row>
    <row r="282" spans="1:11" x14ac:dyDescent="0.2">
      <c r="A282" s="6" t="s">
        <v>3866</v>
      </c>
      <c r="B282" s="6" t="s">
        <v>3958</v>
      </c>
      <c r="C282" s="6" t="s">
        <v>3829</v>
      </c>
      <c r="D282" s="6" t="s">
        <v>3867</v>
      </c>
      <c r="E282" s="6" t="s">
        <v>553</v>
      </c>
      <c r="F282" s="6" t="s">
        <v>550</v>
      </c>
      <c r="G282" s="6" t="s">
        <v>552</v>
      </c>
      <c r="H282" s="6" t="s">
        <v>785</v>
      </c>
      <c r="I282" s="6">
        <v>1</v>
      </c>
      <c r="J282" s="6">
        <v>5</v>
      </c>
      <c r="K282" s="6">
        <v>0</v>
      </c>
    </row>
    <row r="283" spans="1:11" ht="25.5" x14ac:dyDescent="0.2">
      <c r="A283" s="11" t="s">
        <v>3872</v>
      </c>
      <c r="B283" s="6" t="s">
        <v>3930</v>
      </c>
      <c r="C283" s="6" t="s">
        <v>4324</v>
      </c>
      <c r="D283" s="6" t="s">
        <v>3873</v>
      </c>
      <c r="E283" s="6" t="s">
        <v>646</v>
      </c>
      <c r="F283" s="6" t="s">
        <v>1056</v>
      </c>
      <c r="G283" s="6" t="s">
        <v>552</v>
      </c>
      <c r="H283" s="6" t="s">
        <v>785</v>
      </c>
      <c r="I283" s="6">
        <v>1</v>
      </c>
      <c r="J283" s="6">
        <v>7</v>
      </c>
      <c r="K283" s="6">
        <v>0</v>
      </c>
    </row>
    <row r="284" spans="1:11" ht="25.5" x14ac:dyDescent="0.2">
      <c r="A284" s="11" t="s">
        <v>711</v>
      </c>
      <c r="B284" s="13" t="s">
        <v>926</v>
      </c>
      <c r="C284" s="6" t="s">
        <v>4208</v>
      </c>
      <c r="D284" s="6" t="s">
        <v>2392</v>
      </c>
      <c r="E284" s="6" t="s">
        <v>646</v>
      </c>
      <c r="F284" s="6" t="s">
        <v>712</v>
      </c>
      <c r="G284" s="6" t="s">
        <v>552</v>
      </c>
      <c r="H284" s="6" t="s">
        <v>785</v>
      </c>
      <c r="I284" s="6">
        <v>1</v>
      </c>
      <c r="J284" s="6">
        <v>5</v>
      </c>
      <c r="K284" s="6">
        <v>0</v>
      </c>
    </row>
    <row r="285" spans="1:11" x14ac:dyDescent="0.2">
      <c r="A285" s="8" t="s">
        <v>713</v>
      </c>
      <c r="B285" s="6" t="s">
        <v>927</v>
      </c>
      <c r="C285" s="6" t="s">
        <v>4208</v>
      </c>
      <c r="D285" s="6" t="s">
        <v>2393</v>
      </c>
      <c r="E285" s="6" t="s">
        <v>646</v>
      </c>
      <c r="F285" s="6" t="s">
        <v>714</v>
      </c>
      <c r="G285" s="6" t="s">
        <v>552</v>
      </c>
      <c r="H285" s="6" t="s">
        <v>785</v>
      </c>
      <c r="I285" s="6">
        <v>1</v>
      </c>
      <c r="J285" s="6">
        <v>8</v>
      </c>
      <c r="K285" s="6">
        <v>0</v>
      </c>
    </row>
    <row r="286" spans="1:11" ht="76.5" x14ac:dyDescent="0.2">
      <c r="A286" s="11" t="s">
        <v>691</v>
      </c>
      <c r="B286" s="14" t="s">
        <v>907</v>
      </c>
      <c r="C286" s="6" t="s">
        <v>1205</v>
      </c>
      <c r="D286" s="6" t="s">
        <v>1990</v>
      </c>
      <c r="E286" s="6" t="s">
        <v>646</v>
      </c>
      <c r="F286" s="6" t="s">
        <v>690</v>
      </c>
      <c r="G286" s="6" t="s">
        <v>552</v>
      </c>
      <c r="H286" s="6" t="s">
        <v>3139</v>
      </c>
      <c r="I286" s="6">
        <v>1</v>
      </c>
      <c r="J286" s="6">
        <v>20</v>
      </c>
      <c r="K286" s="6">
        <v>0</v>
      </c>
    </row>
    <row r="287" spans="1:11" ht="38.25" x14ac:dyDescent="0.2">
      <c r="A287" s="11" t="s">
        <v>2992</v>
      </c>
      <c r="B287" s="6" t="s">
        <v>1724</v>
      </c>
      <c r="C287" s="13" t="s">
        <v>4032</v>
      </c>
      <c r="D287" s="6" t="s">
        <v>2366</v>
      </c>
      <c r="E287" s="6" t="s">
        <v>646</v>
      </c>
      <c r="F287" s="6" t="s">
        <v>1589</v>
      </c>
      <c r="G287" s="6" t="s">
        <v>552</v>
      </c>
      <c r="H287" s="6" t="s">
        <v>2362</v>
      </c>
      <c r="I287" s="6">
        <v>1</v>
      </c>
      <c r="J287" s="6">
        <v>3</v>
      </c>
      <c r="K287" s="6">
        <v>0</v>
      </c>
    </row>
    <row r="288" spans="1:11" ht="76.5" x14ac:dyDescent="0.2">
      <c r="A288" s="8" t="s">
        <v>1175</v>
      </c>
      <c r="B288" s="6" t="s">
        <v>954</v>
      </c>
      <c r="C288" s="13" t="s">
        <v>4028</v>
      </c>
      <c r="D288" s="6" t="s">
        <v>2267</v>
      </c>
      <c r="E288" s="6" t="s">
        <v>646</v>
      </c>
      <c r="F288" s="6" t="s">
        <v>550</v>
      </c>
      <c r="G288" s="6" t="s">
        <v>552</v>
      </c>
      <c r="H288" s="6" t="s">
        <v>2725</v>
      </c>
      <c r="I288" s="6">
        <v>1</v>
      </c>
      <c r="J288" s="6">
        <v>9</v>
      </c>
      <c r="K288" s="6">
        <v>0</v>
      </c>
    </row>
    <row r="289" spans="1:11" x14ac:dyDescent="0.2">
      <c r="A289" s="11" t="s">
        <v>1231</v>
      </c>
      <c r="B289" s="13" t="s">
        <v>1386</v>
      </c>
      <c r="C289" s="6" t="s">
        <v>1024</v>
      </c>
      <c r="D289" s="6" t="s">
        <v>2032</v>
      </c>
      <c r="E289" s="6" t="s">
        <v>553</v>
      </c>
      <c r="F289" s="6" t="s">
        <v>550</v>
      </c>
      <c r="G289" s="6" t="s">
        <v>552</v>
      </c>
      <c r="H289" s="6" t="s">
        <v>785</v>
      </c>
      <c r="I289" s="6">
        <v>1</v>
      </c>
      <c r="J289" s="6">
        <v>1</v>
      </c>
      <c r="K289" s="6">
        <v>0</v>
      </c>
    </row>
    <row r="290" spans="1:11" x14ac:dyDescent="0.2">
      <c r="A290" s="12" t="s">
        <v>1232</v>
      </c>
      <c r="B290" s="6" t="s">
        <v>1387</v>
      </c>
      <c r="C290" s="13" t="s">
        <v>1024</v>
      </c>
      <c r="D290" s="6" t="s">
        <v>2033</v>
      </c>
      <c r="E290" s="6" t="s">
        <v>553</v>
      </c>
      <c r="F290" s="6" t="s">
        <v>550</v>
      </c>
      <c r="G290" s="6" t="s">
        <v>552</v>
      </c>
      <c r="H290" s="6" t="s">
        <v>785</v>
      </c>
      <c r="I290" s="6">
        <v>1</v>
      </c>
      <c r="J290" s="6">
        <v>1</v>
      </c>
      <c r="K290" s="6">
        <v>0</v>
      </c>
    </row>
    <row r="291" spans="1:11" ht="38.25" x14ac:dyDescent="0.2">
      <c r="A291" s="8" t="s">
        <v>614</v>
      </c>
      <c r="B291" s="14" t="s">
        <v>838</v>
      </c>
      <c r="C291" s="6" t="s">
        <v>1748</v>
      </c>
      <c r="D291" s="6" t="s">
        <v>2476</v>
      </c>
      <c r="E291" s="6" t="s">
        <v>646</v>
      </c>
      <c r="F291" s="6" t="s">
        <v>611</v>
      </c>
      <c r="G291" s="6" t="s">
        <v>552</v>
      </c>
      <c r="H291" s="6" t="s">
        <v>785</v>
      </c>
      <c r="I291" s="6">
        <v>1</v>
      </c>
      <c r="J291" s="6">
        <v>2</v>
      </c>
      <c r="K291" s="6">
        <v>0</v>
      </c>
    </row>
    <row r="292" spans="1:11" x14ac:dyDescent="0.2">
      <c r="A292" s="11" t="s">
        <v>4059</v>
      </c>
      <c r="B292" s="6" t="s">
        <v>4107</v>
      </c>
      <c r="C292" s="6" t="s">
        <v>4387</v>
      </c>
      <c r="D292" s="6" t="s">
        <v>4060</v>
      </c>
      <c r="E292" s="6" t="s">
        <v>646</v>
      </c>
      <c r="F292" s="6" t="s">
        <v>550</v>
      </c>
      <c r="G292" s="6" t="s">
        <v>552</v>
      </c>
      <c r="H292" s="6" t="s">
        <v>785</v>
      </c>
      <c r="I292" s="6">
        <v>1</v>
      </c>
      <c r="J292" s="6">
        <v>8</v>
      </c>
      <c r="K292" s="6">
        <v>0</v>
      </c>
    </row>
    <row r="293" spans="1:11" ht="25.5" x14ac:dyDescent="0.2">
      <c r="A293" s="11" t="s">
        <v>600</v>
      </c>
      <c r="B293" s="6" t="s">
        <v>830</v>
      </c>
      <c r="C293" s="6" t="s">
        <v>2910</v>
      </c>
      <c r="D293" s="6" t="s">
        <v>2491</v>
      </c>
      <c r="E293" s="6" t="s">
        <v>646</v>
      </c>
      <c r="F293" s="6" t="s">
        <v>550</v>
      </c>
      <c r="G293" s="6" t="s">
        <v>552</v>
      </c>
      <c r="H293" s="6" t="s">
        <v>2495</v>
      </c>
      <c r="I293" s="6">
        <v>1</v>
      </c>
      <c r="J293" s="6">
        <v>16</v>
      </c>
      <c r="K293" s="6">
        <v>0</v>
      </c>
    </row>
    <row r="294" spans="1:11" ht="89.25" x14ac:dyDescent="0.2">
      <c r="A294" s="12" t="s">
        <v>1148</v>
      </c>
      <c r="B294" s="6" t="s">
        <v>989</v>
      </c>
      <c r="C294" s="6" t="s">
        <v>2891</v>
      </c>
      <c r="D294" s="6" t="s">
        <v>2291</v>
      </c>
      <c r="E294" s="6" t="s">
        <v>646</v>
      </c>
      <c r="F294" s="6" t="s">
        <v>1569</v>
      </c>
      <c r="G294" s="6" t="s">
        <v>552</v>
      </c>
      <c r="H294" s="6" t="s">
        <v>785</v>
      </c>
      <c r="I294" s="6">
        <v>1</v>
      </c>
      <c r="J294" s="6">
        <v>5</v>
      </c>
      <c r="K294" s="6">
        <v>0</v>
      </c>
    </row>
    <row r="295" spans="1:11" ht="38.25" x14ac:dyDescent="0.2">
      <c r="A295" s="11" t="s">
        <v>1588</v>
      </c>
      <c r="B295" s="14" t="s">
        <v>1724</v>
      </c>
      <c r="C295" s="13" t="s">
        <v>4032</v>
      </c>
      <c r="D295" s="6" t="s">
        <v>2365</v>
      </c>
      <c r="E295" s="6" t="s">
        <v>646</v>
      </c>
      <c r="F295" s="6" t="s">
        <v>3850</v>
      </c>
      <c r="G295" s="6" t="s">
        <v>552</v>
      </c>
      <c r="H295" s="6" t="s">
        <v>2368</v>
      </c>
      <c r="I295" s="6">
        <v>1</v>
      </c>
      <c r="J295" s="6">
        <v>9</v>
      </c>
      <c r="K295" s="6">
        <v>0</v>
      </c>
    </row>
    <row r="296" spans="1:11" ht="76.5" x14ac:dyDescent="0.2">
      <c r="A296" s="12" t="s">
        <v>689</v>
      </c>
      <c r="B296" s="6" t="s">
        <v>906</v>
      </c>
      <c r="C296" s="6" t="s">
        <v>1205</v>
      </c>
      <c r="D296" s="6" t="s">
        <v>1989</v>
      </c>
      <c r="E296" s="6" t="s">
        <v>646</v>
      </c>
      <c r="F296" s="6" t="s">
        <v>690</v>
      </c>
      <c r="G296" s="6" t="s">
        <v>552</v>
      </c>
      <c r="H296" s="6" t="s">
        <v>3139</v>
      </c>
      <c r="I296" s="6">
        <v>1</v>
      </c>
      <c r="J296" s="6">
        <v>24</v>
      </c>
      <c r="K296" s="6">
        <v>0</v>
      </c>
    </row>
    <row r="297" spans="1:11" x14ac:dyDescent="0.2">
      <c r="A297" s="7" t="s">
        <v>4072</v>
      </c>
      <c r="B297" s="6" t="s">
        <v>4114</v>
      </c>
      <c r="C297" s="6" t="s">
        <v>4387</v>
      </c>
      <c r="D297" s="6" t="s">
        <v>4074</v>
      </c>
      <c r="E297" s="6" t="s">
        <v>646</v>
      </c>
      <c r="F297" s="6" t="s">
        <v>4073</v>
      </c>
      <c r="G297" s="6" t="s">
        <v>552</v>
      </c>
      <c r="H297" s="6" t="s">
        <v>2885</v>
      </c>
      <c r="I297" s="6">
        <v>1</v>
      </c>
      <c r="J297" s="6">
        <v>5</v>
      </c>
      <c r="K297" s="6">
        <v>0</v>
      </c>
    </row>
    <row r="298" spans="1:11" ht="25.5" x14ac:dyDescent="0.2">
      <c r="A298" s="11" t="s">
        <v>597</v>
      </c>
      <c r="B298" s="6" t="s">
        <v>828</v>
      </c>
      <c r="C298" s="6" t="s">
        <v>4319</v>
      </c>
      <c r="D298" s="6" t="s">
        <v>2451</v>
      </c>
      <c r="E298" s="6" t="s">
        <v>646</v>
      </c>
      <c r="F298" s="6" t="s">
        <v>598</v>
      </c>
      <c r="G298" s="6" t="s">
        <v>552</v>
      </c>
      <c r="H298" s="6" t="s">
        <v>785</v>
      </c>
      <c r="I298" s="6">
        <v>1</v>
      </c>
      <c r="J298" s="6">
        <v>1</v>
      </c>
      <c r="K298" s="6">
        <v>0</v>
      </c>
    </row>
    <row r="299" spans="1:11" x14ac:dyDescent="0.2">
      <c r="A299" s="12" t="s">
        <v>1821</v>
      </c>
      <c r="B299" s="6" t="s">
        <v>1886</v>
      </c>
      <c r="C299" s="6" t="s">
        <v>1915</v>
      </c>
      <c r="D299" s="6" t="s">
        <v>2499</v>
      </c>
      <c r="E299" s="6" t="s">
        <v>646</v>
      </c>
      <c r="F299" s="6" t="s">
        <v>1822</v>
      </c>
      <c r="G299" s="6" t="s">
        <v>552</v>
      </c>
      <c r="H299" s="14" t="s">
        <v>785</v>
      </c>
      <c r="I299" s="6">
        <v>1</v>
      </c>
      <c r="J299" s="6">
        <v>2</v>
      </c>
      <c r="K299" s="6">
        <v>0</v>
      </c>
    </row>
    <row r="300" spans="1:11" ht="25.5" x14ac:dyDescent="0.2">
      <c r="A300" s="6" t="s">
        <v>2986</v>
      </c>
      <c r="B300" s="6" t="s">
        <v>1705</v>
      </c>
      <c r="C300" s="6" t="s">
        <v>2891</v>
      </c>
      <c r="D300" s="6" t="s">
        <v>2292</v>
      </c>
      <c r="E300" s="6" t="s">
        <v>646</v>
      </c>
      <c r="F300" s="6" t="s">
        <v>1569</v>
      </c>
      <c r="G300" s="6" t="s">
        <v>552</v>
      </c>
      <c r="H300" s="6" t="s">
        <v>2367</v>
      </c>
      <c r="I300" s="6">
        <v>1</v>
      </c>
      <c r="J300" s="6">
        <v>22</v>
      </c>
      <c r="K300" s="6">
        <v>0</v>
      </c>
    </row>
    <row r="301" spans="1:11" ht="25.5" x14ac:dyDescent="0.2">
      <c r="A301" s="11" t="s">
        <v>1601</v>
      </c>
      <c r="B301" s="6" t="s">
        <v>1733</v>
      </c>
      <c r="C301" s="6" t="s">
        <v>4208</v>
      </c>
      <c r="D301" s="6" t="s">
        <v>2405</v>
      </c>
      <c r="E301" s="6" t="s">
        <v>646</v>
      </c>
      <c r="F301" s="6" t="s">
        <v>1147</v>
      </c>
      <c r="G301" s="6" t="s">
        <v>552</v>
      </c>
      <c r="H301" s="6" t="s">
        <v>785</v>
      </c>
      <c r="I301" s="6">
        <v>1</v>
      </c>
      <c r="J301" s="6">
        <v>19</v>
      </c>
      <c r="K301" s="6">
        <v>0</v>
      </c>
    </row>
    <row r="302" spans="1:11" ht="25.5" x14ac:dyDescent="0.2">
      <c r="A302" s="6" t="s">
        <v>1117</v>
      </c>
      <c r="B302" s="6" t="s">
        <v>936</v>
      </c>
      <c r="C302" s="6" t="s">
        <v>4321</v>
      </c>
      <c r="D302" s="6" t="s">
        <v>2342</v>
      </c>
      <c r="E302" s="6" t="s">
        <v>646</v>
      </c>
      <c r="F302" s="6" t="s">
        <v>550</v>
      </c>
      <c r="G302" s="6" t="s">
        <v>552</v>
      </c>
      <c r="H302" s="6" t="s">
        <v>2349</v>
      </c>
      <c r="I302" s="6">
        <v>1</v>
      </c>
      <c r="J302" s="6">
        <v>5</v>
      </c>
      <c r="K302" s="6">
        <v>0</v>
      </c>
    </row>
    <row r="303" spans="1:11" ht="51" x14ac:dyDescent="0.2">
      <c r="A303" s="8" t="s">
        <v>1060</v>
      </c>
      <c r="B303" s="6" t="s">
        <v>795</v>
      </c>
      <c r="C303" s="13" t="s">
        <v>560</v>
      </c>
      <c r="D303" s="6" t="s">
        <v>1980</v>
      </c>
      <c r="E303" s="6" t="s">
        <v>646</v>
      </c>
      <c r="F303" s="6" t="s">
        <v>1061</v>
      </c>
      <c r="G303" s="6" t="s">
        <v>552</v>
      </c>
      <c r="H303" s="6" t="s">
        <v>2546</v>
      </c>
      <c r="I303" s="6">
        <v>1</v>
      </c>
      <c r="J303" s="6">
        <v>8</v>
      </c>
      <c r="K303" s="6">
        <v>0</v>
      </c>
    </row>
    <row r="304" spans="1:11" x14ac:dyDescent="0.2">
      <c r="A304" s="11" t="s">
        <v>4069</v>
      </c>
      <c r="B304" s="6" t="s">
        <v>4113</v>
      </c>
      <c r="C304" s="6" t="s">
        <v>4387</v>
      </c>
      <c r="D304" s="6" t="s">
        <v>4071</v>
      </c>
      <c r="E304" s="6" t="s">
        <v>646</v>
      </c>
      <c r="F304" s="6" t="s">
        <v>4070</v>
      </c>
      <c r="G304" s="6" t="s">
        <v>552</v>
      </c>
      <c r="H304" s="6" t="s">
        <v>785</v>
      </c>
      <c r="I304" s="6">
        <v>1</v>
      </c>
      <c r="J304" s="6">
        <v>5</v>
      </c>
      <c r="K304" s="6">
        <v>0</v>
      </c>
    </row>
    <row r="305" spans="1:11" ht="25.5" x14ac:dyDescent="0.2">
      <c r="A305" s="9" t="s">
        <v>3888</v>
      </c>
      <c r="B305" s="6" t="s">
        <v>3938</v>
      </c>
      <c r="C305" s="6" t="s">
        <v>4324</v>
      </c>
      <c r="D305" s="6" t="s">
        <v>3889</v>
      </c>
      <c r="E305" s="6" t="s">
        <v>646</v>
      </c>
      <c r="F305" s="6" t="s">
        <v>550</v>
      </c>
      <c r="G305" s="6" t="s">
        <v>3857</v>
      </c>
      <c r="H305" s="6" t="s">
        <v>785</v>
      </c>
      <c r="I305" s="6">
        <v>2</v>
      </c>
      <c r="J305" s="6">
        <v>1</v>
      </c>
      <c r="K305" s="6">
        <v>0</v>
      </c>
    </row>
    <row r="306" spans="1:11" ht="25.5" x14ac:dyDescent="0.2">
      <c r="A306" s="11" t="s">
        <v>748</v>
      </c>
      <c r="B306" s="6" t="s">
        <v>956</v>
      </c>
      <c r="C306" s="6" t="s">
        <v>4028</v>
      </c>
      <c r="D306" s="6" t="s">
        <v>2270</v>
      </c>
      <c r="E306" s="6" t="s">
        <v>646</v>
      </c>
      <c r="F306" s="6" t="s">
        <v>550</v>
      </c>
      <c r="G306" s="6" t="s">
        <v>2672</v>
      </c>
      <c r="H306" s="6" t="s">
        <v>785</v>
      </c>
      <c r="I306" s="6">
        <v>2</v>
      </c>
      <c r="J306" s="6">
        <v>6</v>
      </c>
      <c r="K306" s="6">
        <v>0</v>
      </c>
    </row>
    <row r="307" spans="1:11" ht="280.5" x14ac:dyDescent="0.2">
      <c r="A307" s="11" t="s">
        <v>1129</v>
      </c>
      <c r="B307" s="14" t="s">
        <v>970</v>
      </c>
      <c r="C307" s="6" t="s">
        <v>4028</v>
      </c>
      <c r="D307" s="6" t="s">
        <v>2287</v>
      </c>
      <c r="E307" s="6" t="s">
        <v>646</v>
      </c>
      <c r="F307" s="6" t="s">
        <v>758</v>
      </c>
      <c r="G307" s="6" t="s">
        <v>2649</v>
      </c>
      <c r="H307" s="6" t="s">
        <v>785</v>
      </c>
      <c r="I307" s="6">
        <v>2</v>
      </c>
      <c r="J307" s="6">
        <v>7</v>
      </c>
      <c r="K307" s="6">
        <v>0</v>
      </c>
    </row>
    <row r="308" spans="1:11" ht="89.25" x14ac:dyDescent="0.2">
      <c r="A308" s="9" t="s">
        <v>759</v>
      </c>
      <c r="B308" s="14" t="s">
        <v>971</v>
      </c>
      <c r="C308" s="6" t="s">
        <v>4028</v>
      </c>
      <c r="D308" s="6" t="s">
        <v>2288</v>
      </c>
      <c r="E308" s="6" t="s">
        <v>646</v>
      </c>
      <c r="F308" s="6" t="s">
        <v>760</v>
      </c>
      <c r="G308" s="6" t="s">
        <v>2657</v>
      </c>
      <c r="H308" s="6" t="s">
        <v>785</v>
      </c>
      <c r="I308" s="6">
        <v>2</v>
      </c>
      <c r="J308" s="6">
        <v>27</v>
      </c>
      <c r="K308" s="6">
        <v>0</v>
      </c>
    </row>
    <row r="309" spans="1:11" ht="38.25" x14ac:dyDescent="0.2">
      <c r="A309" s="6" t="s">
        <v>1142</v>
      </c>
      <c r="B309" s="6" t="s">
        <v>983</v>
      </c>
      <c r="C309" s="6" t="s">
        <v>4032</v>
      </c>
      <c r="D309" s="6" t="s">
        <v>2376</v>
      </c>
      <c r="E309" s="6" t="s">
        <v>646</v>
      </c>
      <c r="F309" s="6" t="s">
        <v>550</v>
      </c>
      <c r="G309" s="6" t="s">
        <v>2040</v>
      </c>
      <c r="H309" s="6" t="s">
        <v>2771</v>
      </c>
      <c r="I309" s="6">
        <v>2</v>
      </c>
      <c r="J309" s="6">
        <v>7</v>
      </c>
      <c r="K309" s="6">
        <v>0</v>
      </c>
    </row>
    <row r="310" spans="1:11" ht="38.25" x14ac:dyDescent="0.2">
      <c r="A310" s="7" t="s">
        <v>1141</v>
      </c>
      <c r="B310" s="6" t="s">
        <v>982</v>
      </c>
      <c r="C310" s="6" t="s">
        <v>4032</v>
      </c>
      <c r="D310" s="6" t="s">
        <v>2375</v>
      </c>
      <c r="E310" s="6" t="s">
        <v>646</v>
      </c>
      <c r="F310" s="6" t="s">
        <v>550</v>
      </c>
      <c r="G310" s="6" t="s">
        <v>2041</v>
      </c>
      <c r="H310" s="6" t="s">
        <v>2771</v>
      </c>
      <c r="I310" s="6">
        <v>2</v>
      </c>
      <c r="J310" s="6">
        <v>7</v>
      </c>
      <c r="K310" s="6">
        <v>0</v>
      </c>
    </row>
    <row r="311" spans="1:11" x14ac:dyDescent="0.2">
      <c r="A311" s="7" t="s">
        <v>749</v>
      </c>
      <c r="B311" s="14" t="s">
        <v>957</v>
      </c>
      <c r="C311" s="6" t="s">
        <v>4028</v>
      </c>
      <c r="D311" s="6" t="s">
        <v>2271</v>
      </c>
      <c r="E311" s="6" t="s">
        <v>646</v>
      </c>
      <c r="F311" s="6" t="s">
        <v>550</v>
      </c>
      <c r="G311" s="6" t="s">
        <v>2122</v>
      </c>
      <c r="H311" s="6" t="s">
        <v>2295</v>
      </c>
      <c r="I311" s="6">
        <v>2</v>
      </c>
      <c r="J311" s="6">
        <v>6</v>
      </c>
      <c r="K311" s="6">
        <v>0</v>
      </c>
    </row>
    <row r="312" spans="1:11" ht="51" x14ac:dyDescent="0.2">
      <c r="A312" s="12" t="s">
        <v>757</v>
      </c>
      <c r="B312" s="13" t="s">
        <v>969</v>
      </c>
      <c r="C312" s="6" t="s">
        <v>4028</v>
      </c>
      <c r="D312" s="6" t="s">
        <v>2286</v>
      </c>
      <c r="E312" s="6" t="s">
        <v>646</v>
      </c>
      <c r="F312" s="6" t="s">
        <v>550</v>
      </c>
      <c r="G312" s="6" t="s">
        <v>2044</v>
      </c>
      <c r="H312" s="6" t="s">
        <v>2734</v>
      </c>
      <c r="I312" s="6">
        <v>2</v>
      </c>
      <c r="J312" s="6">
        <v>11</v>
      </c>
      <c r="K312" s="6">
        <v>0</v>
      </c>
    </row>
    <row r="313" spans="1:11" ht="89.25" x14ac:dyDescent="0.2">
      <c r="A313" s="8" t="s">
        <v>1189</v>
      </c>
      <c r="B313" s="6" t="s">
        <v>1203</v>
      </c>
      <c r="C313" s="6" t="s">
        <v>4030</v>
      </c>
      <c r="D313" s="6" t="s">
        <v>2324</v>
      </c>
      <c r="E313" s="6" t="s">
        <v>646</v>
      </c>
      <c r="F313" s="6" t="s">
        <v>550</v>
      </c>
      <c r="G313" s="6" t="s">
        <v>2050</v>
      </c>
      <c r="H313" s="6" t="s">
        <v>2750</v>
      </c>
      <c r="I313" s="6">
        <v>2</v>
      </c>
      <c r="J313" s="6">
        <v>35</v>
      </c>
      <c r="K313" s="6">
        <v>0</v>
      </c>
    </row>
    <row r="314" spans="1:11" ht="76.5" x14ac:dyDescent="0.2">
      <c r="A314" s="11" t="s">
        <v>1126</v>
      </c>
      <c r="B314" s="6" t="s">
        <v>1946</v>
      </c>
      <c r="C314" s="6" t="s">
        <v>4028</v>
      </c>
      <c r="D314" s="6" t="s">
        <v>2276</v>
      </c>
      <c r="E314" s="6" t="s">
        <v>646</v>
      </c>
      <c r="F314" s="6" t="s">
        <v>550</v>
      </c>
      <c r="G314" s="6" t="s">
        <v>2165</v>
      </c>
      <c r="H314" s="6" t="s">
        <v>2729</v>
      </c>
      <c r="I314" s="6">
        <v>2</v>
      </c>
      <c r="J314" s="6">
        <v>20</v>
      </c>
      <c r="K314" s="6">
        <v>0</v>
      </c>
    </row>
    <row r="315" spans="1:11" x14ac:dyDescent="0.2">
      <c r="A315" s="6" t="s">
        <v>4055</v>
      </c>
      <c r="B315" s="6" t="s">
        <v>4105</v>
      </c>
      <c r="C315" s="6" t="s">
        <v>4387</v>
      </c>
      <c r="D315" s="6" t="s">
        <v>4056</v>
      </c>
      <c r="E315" s="6" t="s">
        <v>646</v>
      </c>
      <c r="F315" s="6" t="s">
        <v>550</v>
      </c>
      <c r="G315" s="6" t="s">
        <v>4045</v>
      </c>
      <c r="H315" s="6" t="s">
        <v>785</v>
      </c>
      <c r="I315" s="6">
        <v>2</v>
      </c>
      <c r="J315" s="6">
        <v>1</v>
      </c>
      <c r="K315" s="6">
        <v>0</v>
      </c>
    </row>
    <row r="316" spans="1:11" ht="63.75" x14ac:dyDescent="0.2">
      <c r="A316" s="8" t="s">
        <v>1551</v>
      </c>
      <c r="B316" s="13" t="s">
        <v>1685</v>
      </c>
      <c r="C316" s="6" t="s">
        <v>2909</v>
      </c>
      <c r="D316" s="6" t="s">
        <v>2217</v>
      </c>
      <c r="E316" s="6" t="s">
        <v>646</v>
      </c>
      <c r="F316" s="6" t="s">
        <v>550</v>
      </c>
      <c r="G316" s="6" t="s">
        <v>2054</v>
      </c>
      <c r="H316" s="6" t="s">
        <v>2698</v>
      </c>
      <c r="I316" s="6">
        <v>2</v>
      </c>
      <c r="J316" s="6">
        <v>14</v>
      </c>
      <c r="K316" s="6">
        <v>0</v>
      </c>
    </row>
    <row r="317" spans="1:11" ht="25.5" x14ac:dyDescent="0.2">
      <c r="A317" s="12" t="s">
        <v>685</v>
      </c>
      <c r="B317" s="6" t="s">
        <v>903</v>
      </c>
      <c r="C317" s="6" t="s">
        <v>1487</v>
      </c>
      <c r="D317" s="6" t="s">
        <v>2333</v>
      </c>
      <c r="E317" s="6" t="s">
        <v>646</v>
      </c>
      <c r="F317" s="6" t="s">
        <v>550</v>
      </c>
      <c r="G317" s="6" t="s">
        <v>2055</v>
      </c>
      <c r="H317" s="6" t="s">
        <v>2758</v>
      </c>
      <c r="I317" s="6">
        <v>2</v>
      </c>
      <c r="J317" s="6">
        <v>18</v>
      </c>
      <c r="K317" s="6">
        <v>0</v>
      </c>
    </row>
    <row r="318" spans="1:11" ht="38.25" x14ac:dyDescent="0.2">
      <c r="A318" s="12" t="s">
        <v>686</v>
      </c>
      <c r="B318" s="6" t="s">
        <v>904</v>
      </c>
      <c r="C318" s="6" t="s">
        <v>1487</v>
      </c>
      <c r="D318" s="6" t="s">
        <v>2334</v>
      </c>
      <c r="E318" s="6" t="s">
        <v>646</v>
      </c>
      <c r="F318" s="6" t="s">
        <v>550</v>
      </c>
      <c r="G318" s="6" t="s">
        <v>2056</v>
      </c>
      <c r="H318" s="6" t="s">
        <v>2760</v>
      </c>
      <c r="I318" s="6">
        <v>2</v>
      </c>
      <c r="J318" s="6">
        <v>13</v>
      </c>
      <c r="K318" s="6">
        <v>0</v>
      </c>
    </row>
    <row r="319" spans="1:11" ht="76.5" x14ac:dyDescent="0.2">
      <c r="A319" s="8" t="s">
        <v>574</v>
      </c>
      <c r="B319" s="6" t="s">
        <v>808</v>
      </c>
      <c r="C319" s="6" t="s">
        <v>4030</v>
      </c>
      <c r="D319" s="6" t="s">
        <v>2319</v>
      </c>
      <c r="E319" s="6" t="s">
        <v>646</v>
      </c>
      <c r="F319" s="6" t="s">
        <v>550</v>
      </c>
      <c r="G319" s="6" t="s">
        <v>2130</v>
      </c>
      <c r="H319" s="6" t="s">
        <v>2747</v>
      </c>
      <c r="I319" s="6">
        <v>2</v>
      </c>
      <c r="J319" s="6">
        <v>26</v>
      </c>
      <c r="K319" s="6">
        <v>0</v>
      </c>
    </row>
    <row r="320" spans="1:11" ht="114.75" x14ac:dyDescent="0.2">
      <c r="A320" s="11" t="s">
        <v>573</v>
      </c>
      <c r="B320" s="6" t="s">
        <v>806</v>
      </c>
      <c r="C320" s="6" t="s">
        <v>4030</v>
      </c>
      <c r="D320" s="6" t="s">
        <v>2317</v>
      </c>
      <c r="E320" s="6" t="s">
        <v>646</v>
      </c>
      <c r="F320" s="6" t="s">
        <v>550</v>
      </c>
      <c r="G320" s="6" t="s">
        <v>2131</v>
      </c>
      <c r="H320" s="6" t="s">
        <v>2746</v>
      </c>
      <c r="I320" s="6">
        <v>2</v>
      </c>
      <c r="J320" s="6">
        <v>19</v>
      </c>
      <c r="K320" s="6">
        <v>0</v>
      </c>
    </row>
    <row r="321" spans="1:11" ht="25.5" x14ac:dyDescent="0.2">
      <c r="A321" s="11" t="s">
        <v>719</v>
      </c>
      <c r="B321" s="6" t="s">
        <v>932</v>
      </c>
      <c r="C321" s="6" t="s">
        <v>4208</v>
      </c>
      <c r="D321" s="6" t="s">
        <v>2398</v>
      </c>
      <c r="E321" s="6" t="s">
        <v>646</v>
      </c>
      <c r="F321" s="6" t="s">
        <v>550</v>
      </c>
      <c r="G321" s="6" t="s">
        <v>2162</v>
      </c>
      <c r="H321" s="6" t="s">
        <v>785</v>
      </c>
      <c r="I321" s="6">
        <v>2</v>
      </c>
      <c r="J321" s="6">
        <v>17</v>
      </c>
      <c r="K321" s="6">
        <v>0</v>
      </c>
    </row>
    <row r="322" spans="1:11" ht="127.5" x14ac:dyDescent="0.2">
      <c r="A322" s="10" t="s">
        <v>1124</v>
      </c>
      <c r="B322" s="6" t="s">
        <v>959</v>
      </c>
      <c r="C322" s="6" t="s">
        <v>4028</v>
      </c>
      <c r="D322" s="6" t="s">
        <v>2273</v>
      </c>
      <c r="E322" s="6" t="s">
        <v>646</v>
      </c>
      <c r="F322" s="6" t="s">
        <v>550</v>
      </c>
      <c r="G322" s="6" t="s">
        <v>2120</v>
      </c>
      <c r="H322" s="6" t="s">
        <v>3193</v>
      </c>
      <c r="I322" s="6">
        <v>2</v>
      </c>
      <c r="J322" s="6">
        <v>9</v>
      </c>
      <c r="K322" s="6">
        <v>0</v>
      </c>
    </row>
    <row r="323" spans="1:11" ht="63.75" x14ac:dyDescent="0.2">
      <c r="A323" s="6" t="s">
        <v>1308</v>
      </c>
      <c r="B323" s="6" t="s">
        <v>1427</v>
      </c>
      <c r="C323" s="6" t="s">
        <v>1028</v>
      </c>
      <c r="D323" s="6" t="s">
        <v>2153</v>
      </c>
      <c r="E323" s="6" t="s">
        <v>553</v>
      </c>
      <c r="F323" s="6" t="s">
        <v>550</v>
      </c>
      <c r="G323" s="6" t="s">
        <v>2150</v>
      </c>
      <c r="H323" s="6" t="s">
        <v>2653</v>
      </c>
      <c r="I323" s="6">
        <v>2</v>
      </c>
      <c r="J323" s="6">
        <v>10</v>
      </c>
      <c r="K323" s="6">
        <v>0</v>
      </c>
    </row>
    <row r="324" spans="1:11" ht="63.75" x14ac:dyDescent="0.2">
      <c r="A324" s="8" t="s">
        <v>1307</v>
      </c>
      <c r="B324" s="6" t="s">
        <v>1426</v>
      </c>
      <c r="C324" s="6" t="s">
        <v>1028</v>
      </c>
      <c r="D324" s="6" t="s">
        <v>2152</v>
      </c>
      <c r="E324" s="6" t="s">
        <v>553</v>
      </c>
      <c r="F324" s="6" t="s">
        <v>550</v>
      </c>
      <c r="G324" s="6" t="s">
        <v>2149</v>
      </c>
      <c r="H324" s="14" t="s">
        <v>2653</v>
      </c>
      <c r="I324" s="6">
        <v>2</v>
      </c>
      <c r="J324" s="6">
        <v>10</v>
      </c>
      <c r="K324" s="6">
        <v>0</v>
      </c>
    </row>
    <row r="325" spans="1:11" ht="63.75" x14ac:dyDescent="0.2">
      <c r="A325" s="11" t="s">
        <v>1306</v>
      </c>
      <c r="B325" s="6" t="s">
        <v>1425</v>
      </c>
      <c r="C325" s="6" t="s">
        <v>1028</v>
      </c>
      <c r="D325" s="6" t="s">
        <v>2151</v>
      </c>
      <c r="E325" s="6" t="s">
        <v>553</v>
      </c>
      <c r="F325" s="6" t="s">
        <v>550</v>
      </c>
      <c r="G325" s="6" t="s">
        <v>2148</v>
      </c>
      <c r="H325" s="6" t="s">
        <v>2653</v>
      </c>
      <c r="I325" s="6">
        <v>2</v>
      </c>
      <c r="J325" s="6">
        <v>10</v>
      </c>
      <c r="K325" s="6">
        <v>0</v>
      </c>
    </row>
    <row r="326" spans="1:11" ht="89.25" x14ac:dyDescent="0.2">
      <c r="A326" s="12" t="s">
        <v>669</v>
      </c>
      <c r="B326" s="14" t="s">
        <v>3146</v>
      </c>
      <c r="C326" s="6" t="s">
        <v>4322</v>
      </c>
      <c r="D326" s="6" t="s">
        <v>2233</v>
      </c>
      <c r="E326" s="6" t="s">
        <v>646</v>
      </c>
      <c r="F326" s="6" t="s">
        <v>670</v>
      </c>
      <c r="G326" s="6" t="s">
        <v>2692</v>
      </c>
      <c r="H326" s="6" t="s">
        <v>2704</v>
      </c>
      <c r="I326" s="6">
        <v>2</v>
      </c>
      <c r="J326" s="6">
        <v>33</v>
      </c>
      <c r="K326" s="6">
        <v>0</v>
      </c>
    </row>
    <row r="327" spans="1:11" ht="25.5" x14ac:dyDescent="0.2">
      <c r="A327" s="9" t="s">
        <v>2921</v>
      </c>
      <c r="B327" s="6" t="s">
        <v>2956</v>
      </c>
      <c r="C327" s="6" t="s">
        <v>2982</v>
      </c>
      <c r="D327" s="6" t="s">
        <v>2922</v>
      </c>
      <c r="E327" s="6" t="s">
        <v>646</v>
      </c>
      <c r="F327" s="6" t="s">
        <v>2916</v>
      </c>
      <c r="G327" s="6" t="s">
        <v>2920</v>
      </c>
      <c r="H327" s="6" t="s">
        <v>2928</v>
      </c>
      <c r="I327" s="6">
        <v>2</v>
      </c>
      <c r="J327" s="6">
        <v>22</v>
      </c>
      <c r="K327" s="6">
        <v>0</v>
      </c>
    </row>
    <row r="328" spans="1:11" ht="25.5" x14ac:dyDescent="0.2">
      <c r="A328" s="12" t="s">
        <v>1127</v>
      </c>
      <c r="B328" s="6" t="s">
        <v>961</v>
      </c>
      <c r="C328" s="6" t="s">
        <v>4028</v>
      </c>
      <c r="D328" s="6" t="s">
        <v>2277</v>
      </c>
      <c r="E328" s="6" t="s">
        <v>646</v>
      </c>
      <c r="F328" s="6" t="s">
        <v>550</v>
      </c>
      <c r="G328" s="6" t="s">
        <v>2085</v>
      </c>
      <c r="H328" s="6" t="s">
        <v>2730</v>
      </c>
      <c r="I328" s="6">
        <v>2</v>
      </c>
      <c r="J328" s="6">
        <v>4</v>
      </c>
      <c r="K328" s="6">
        <v>0</v>
      </c>
    </row>
    <row r="329" spans="1:11" ht="38.25" x14ac:dyDescent="0.2">
      <c r="A329" s="8" t="s">
        <v>4039</v>
      </c>
      <c r="B329" s="6" t="s">
        <v>4137</v>
      </c>
      <c r="C329" s="6" t="s">
        <v>4030</v>
      </c>
      <c r="D329" s="6" t="s">
        <v>4040</v>
      </c>
      <c r="E329" s="6" t="s">
        <v>646</v>
      </c>
      <c r="F329" s="6" t="s">
        <v>550</v>
      </c>
      <c r="G329" s="6" t="s">
        <v>4047</v>
      </c>
      <c r="H329" s="6" t="s">
        <v>4094</v>
      </c>
      <c r="I329" s="6">
        <v>2</v>
      </c>
      <c r="J329" s="6">
        <v>46</v>
      </c>
      <c r="K329" s="6">
        <v>0</v>
      </c>
    </row>
    <row r="330" spans="1:11" ht="38.25" x14ac:dyDescent="0.2">
      <c r="A330" s="11" t="s">
        <v>1905</v>
      </c>
      <c r="B330" s="6" t="s">
        <v>1908</v>
      </c>
      <c r="C330" s="6" t="s">
        <v>2909</v>
      </c>
      <c r="D330" s="6" t="s">
        <v>2215</v>
      </c>
      <c r="E330" s="6" t="s">
        <v>646</v>
      </c>
      <c r="F330" s="6" t="s">
        <v>550</v>
      </c>
      <c r="G330" s="6" t="s">
        <v>2610</v>
      </c>
      <c r="H330" s="6" t="s">
        <v>785</v>
      </c>
      <c r="I330" s="6">
        <v>2</v>
      </c>
      <c r="J330" s="6">
        <v>6</v>
      </c>
      <c r="K330" s="6">
        <v>0</v>
      </c>
    </row>
    <row r="331" spans="1:11" ht="114.75" x14ac:dyDescent="0.2">
      <c r="A331" s="8" t="s">
        <v>756</v>
      </c>
      <c r="B331" s="13" t="s">
        <v>968</v>
      </c>
      <c r="C331" s="6" t="s">
        <v>4028</v>
      </c>
      <c r="D331" s="6" t="s">
        <v>2284</v>
      </c>
      <c r="E331" s="6" t="s">
        <v>646</v>
      </c>
      <c r="F331" s="6" t="s">
        <v>1568</v>
      </c>
      <c r="G331" s="6" t="s">
        <v>2666</v>
      </c>
      <c r="H331" s="6" t="s">
        <v>785</v>
      </c>
      <c r="I331" s="6">
        <v>2</v>
      </c>
      <c r="J331" s="6">
        <v>6</v>
      </c>
      <c r="K331" s="6">
        <v>0</v>
      </c>
    </row>
    <row r="332" spans="1:11" ht="51" x14ac:dyDescent="0.2">
      <c r="A332" s="11" t="s">
        <v>1128</v>
      </c>
      <c r="B332" s="6" t="s">
        <v>4093</v>
      </c>
      <c r="C332" s="13" t="s">
        <v>4028</v>
      </c>
      <c r="D332" s="6" t="s">
        <v>2285</v>
      </c>
      <c r="E332" s="6" t="s">
        <v>646</v>
      </c>
      <c r="F332" s="6" t="s">
        <v>550</v>
      </c>
      <c r="G332" s="6" t="s">
        <v>2134</v>
      </c>
      <c r="H332" s="6" t="s">
        <v>2014</v>
      </c>
      <c r="I332" s="6">
        <v>2</v>
      </c>
      <c r="J332" s="6">
        <v>8</v>
      </c>
      <c r="K332" s="6">
        <v>0</v>
      </c>
    </row>
    <row r="333" spans="1:11" ht="25.5" x14ac:dyDescent="0.2">
      <c r="A333" s="11" t="s">
        <v>1550</v>
      </c>
      <c r="B333" s="6" t="s">
        <v>1684</v>
      </c>
      <c r="C333" s="6" t="s">
        <v>2909</v>
      </c>
      <c r="D333" s="6" t="s">
        <v>2216</v>
      </c>
      <c r="E333" s="6" t="s">
        <v>646</v>
      </c>
      <c r="F333" s="6" t="s">
        <v>550</v>
      </c>
      <c r="G333" s="6" t="s">
        <v>2099</v>
      </c>
      <c r="H333" s="6" t="s">
        <v>2407</v>
      </c>
      <c r="I333" s="6">
        <v>2</v>
      </c>
      <c r="J333" s="6">
        <v>8</v>
      </c>
      <c r="K333" s="6">
        <v>0</v>
      </c>
    </row>
    <row r="334" spans="1:11" ht="178.5" x14ac:dyDescent="0.2">
      <c r="A334" s="6" t="s">
        <v>1072</v>
      </c>
      <c r="B334" s="6" t="s">
        <v>1165</v>
      </c>
      <c r="C334" s="6" t="s">
        <v>4030</v>
      </c>
      <c r="D334" s="6" t="s">
        <v>2323</v>
      </c>
      <c r="E334" s="6" t="s">
        <v>646</v>
      </c>
      <c r="F334" s="6" t="s">
        <v>550</v>
      </c>
      <c r="G334" s="6" t="s">
        <v>2100</v>
      </c>
      <c r="H334" s="6" t="s">
        <v>2898</v>
      </c>
      <c r="I334" s="6">
        <v>2</v>
      </c>
      <c r="J334" s="6">
        <v>33</v>
      </c>
      <c r="K334" s="6">
        <v>0</v>
      </c>
    </row>
    <row r="335" spans="1:11" ht="63.75" x14ac:dyDescent="0.2">
      <c r="A335" s="9" t="s">
        <v>1571</v>
      </c>
      <c r="B335" s="13" t="s">
        <v>1707</v>
      </c>
      <c r="C335" s="13" t="s">
        <v>1486</v>
      </c>
      <c r="D335" s="6" t="s">
        <v>2299</v>
      </c>
      <c r="E335" s="6" t="s">
        <v>646</v>
      </c>
      <c r="F335" s="6" t="s">
        <v>550</v>
      </c>
      <c r="G335" s="6" t="s">
        <v>2052</v>
      </c>
      <c r="H335" s="6" t="s">
        <v>2738</v>
      </c>
      <c r="I335" s="6">
        <v>2</v>
      </c>
      <c r="J335" s="6">
        <v>7</v>
      </c>
      <c r="K335" s="6">
        <v>0</v>
      </c>
    </row>
    <row r="336" spans="1:11" ht="76.5" x14ac:dyDescent="0.2">
      <c r="A336" s="11" t="s">
        <v>733</v>
      </c>
      <c r="B336" s="6" t="s">
        <v>946</v>
      </c>
      <c r="C336" s="6" t="s">
        <v>4321</v>
      </c>
      <c r="D336" s="6" t="s">
        <v>2354</v>
      </c>
      <c r="E336" s="6" t="s">
        <v>646</v>
      </c>
      <c r="F336" s="6" t="s">
        <v>550</v>
      </c>
      <c r="G336" s="6" t="s">
        <v>2101</v>
      </c>
      <c r="H336" s="6" t="s">
        <v>2769</v>
      </c>
      <c r="I336" s="6">
        <v>2</v>
      </c>
      <c r="J336" s="6">
        <v>31</v>
      </c>
      <c r="K336" s="6">
        <v>0</v>
      </c>
    </row>
    <row r="337" spans="1:11" ht="51" x14ac:dyDescent="0.2">
      <c r="A337" s="11" t="s">
        <v>724</v>
      </c>
      <c r="B337" s="6" t="s">
        <v>938</v>
      </c>
      <c r="C337" s="6" t="s">
        <v>4321</v>
      </c>
      <c r="D337" s="6" t="s">
        <v>2346</v>
      </c>
      <c r="E337" s="6" t="s">
        <v>646</v>
      </c>
      <c r="F337" s="6" t="s">
        <v>550</v>
      </c>
      <c r="G337" s="6" t="s">
        <v>2102</v>
      </c>
      <c r="H337" s="6" t="s">
        <v>2903</v>
      </c>
      <c r="I337" s="6">
        <v>2</v>
      </c>
      <c r="J337" s="6">
        <v>15</v>
      </c>
      <c r="K337" s="6">
        <v>0</v>
      </c>
    </row>
    <row r="338" spans="1:11" ht="51" x14ac:dyDescent="0.2">
      <c r="A338" s="8" t="s">
        <v>751</v>
      </c>
      <c r="B338" s="6" t="s">
        <v>963</v>
      </c>
      <c r="C338" s="6" t="s">
        <v>4028</v>
      </c>
      <c r="D338" s="6" t="s">
        <v>2279</v>
      </c>
      <c r="E338" s="6" t="s">
        <v>646</v>
      </c>
      <c r="F338" s="6" t="s">
        <v>550</v>
      </c>
      <c r="G338" s="6" t="s">
        <v>2127</v>
      </c>
      <c r="H338" s="6" t="s">
        <v>2731</v>
      </c>
      <c r="I338" s="6">
        <v>2</v>
      </c>
      <c r="J338" s="6">
        <v>18</v>
      </c>
      <c r="K338" s="6">
        <v>0</v>
      </c>
    </row>
    <row r="339" spans="1:11" ht="25.5" x14ac:dyDescent="0.2">
      <c r="A339" s="8" t="s">
        <v>698</v>
      </c>
      <c r="B339" s="6" t="s">
        <v>912</v>
      </c>
      <c r="C339" s="13" t="s">
        <v>4379</v>
      </c>
      <c r="D339" s="6" t="s">
        <v>2337</v>
      </c>
      <c r="E339" s="6" t="s">
        <v>646</v>
      </c>
      <c r="F339" s="6" t="s">
        <v>550</v>
      </c>
      <c r="G339" s="6" t="s">
        <v>2673</v>
      </c>
      <c r="H339" s="6" t="s">
        <v>785</v>
      </c>
      <c r="I339" s="6">
        <v>2</v>
      </c>
      <c r="J339" s="6">
        <v>8</v>
      </c>
      <c r="K339" s="6">
        <v>0</v>
      </c>
    </row>
    <row r="340" spans="1:11" ht="25.5" x14ac:dyDescent="0.2">
      <c r="A340" s="11" t="s">
        <v>1106</v>
      </c>
      <c r="B340" s="6" t="s">
        <v>1168</v>
      </c>
      <c r="C340" s="6" t="s">
        <v>4379</v>
      </c>
      <c r="D340" s="6" t="s">
        <v>2339</v>
      </c>
      <c r="E340" s="6" t="s">
        <v>646</v>
      </c>
      <c r="F340" s="6" t="s">
        <v>1107</v>
      </c>
      <c r="G340" s="6" t="s">
        <v>2599</v>
      </c>
      <c r="H340" s="6" t="s">
        <v>785</v>
      </c>
      <c r="I340" s="6">
        <v>2</v>
      </c>
      <c r="J340" s="6">
        <v>15</v>
      </c>
      <c r="K340" s="6">
        <v>0</v>
      </c>
    </row>
    <row r="341" spans="1:11" ht="63.75" x14ac:dyDescent="0.2">
      <c r="A341" s="11" t="s">
        <v>699</v>
      </c>
      <c r="B341" s="6" t="s">
        <v>913</v>
      </c>
      <c r="C341" s="6" t="s">
        <v>4379</v>
      </c>
      <c r="D341" s="6" t="s">
        <v>2340</v>
      </c>
      <c r="E341" s="6" t="s">
        <v>646</v>
      </c>
      <c r="F341" s="6" t="s">
        <v>550</v>
      </c>
      <c r="G341" s="6" t="s">
        <v>2619</v>
      </c>
      <c r="H341" s="6" t="s">
        <v>2764</v>
      </c>
      <c r="I341" s="6">
        <v>2</v>
      </c>
      <c r="J341" s="6">
        <v>32</v>
      </c>
      <c r="K341" s="6">
        <v>0</v>
      </c>
    </row>
    <row r="342" spans="1:11" ht="38.25" x14ac:dyDescent="0.2">
      <c r="A342" s="11" t="s">
        <v>1080</v>
      </c>
      <c r="B342" s="6" t="s">
        <v>851</v>
      </c>
      <c r="C342" s="6" t="s">
        <v>1739</v>
      </c>
      <c r="D342" s="6" t="s">
        <v>2022</v>
      </c>
      <c r="E342" s="6" t="s">
        <v>646</v>
      </c>
      <c r="F342" s="6" t="s">
        <v>550</v>
      </c>
      <c r="G342" s="6" t="s">
        <v>2190</v>
      </c>
      <c r="H342" s="6" t="s">
        <v>2562</v>
      </c>
      <c r="I342" s="6">
        <v>2</v>
      </c>
      <c r="J342" s="6">
        <v>5</v>
      </c>
      <c r="K342" s="6">
        <v>0</v>
      </c>
    </row>
    <row r="343" spans="1:11" ht="76.5" x14ac:dyDescent="0.2">
      <c r="A343" s="11" t="s">
        <v>1492</v>
      </c>
      <c r="B343" s="6" t="s">
        <v>855</v>
      </c>
      <c r="C343" s="6" t="s">
        <v>1739</v>
      </c>
      <c r="D343" s="6" t="s">
        <v>2026</v>
      </c>
      <c r="E343" s="6" t="s">
        <v>646</v>
      </c>
      <c r="F343" s="6" t="s">
        <v>550</v>
      </c>
      <c r="G343" s="6" t="s">
        <v>2193</v>
      </c>
      <c r="H343" s="6" t="s">
        <v>2564</v>
      </c>
      <c r="I343" s="6">
        <v>2</v>
      </c>
      <c r="J343" s="6">
        <v>5</v>
      </c>
      <c r="K343" s="6">
        <v>0</v>
      </c>
    </row>
    <row r="344" spans="1:11" ht="63.75" x14ac:dyDescent="0.2">
      <c r="A344" s="6" t="s">
        <v>633</v>
      </c>
      <c r="B344" s="6" t="s">
        <v>850</v>
      </c>
      <c r="C344" s="6" t="s">
        <v>1739</v>
      </c>
      <c r="D344" s="6" t="s">
        <v>2021</v>
      </c>
      <c r="E344" s="6" t="s">
        <v>646</v>
      </c>
      <c r="F344" s="6" t="s">
        <v>550</v>
      </c>
      <c r="G344" s="6" t="s">
        <v>2195</v>
      </c>
      <c r="H344" s="6" t="s">
        <v>2560</v>
      </c>
      <c r="I344" s="6">
        <v>2</v>
      </c>
      <c r="J344" s="6">
        <v>5</v>
      </c>
      <c r="K344" s="6">
        <v>0</v>
      </c>
    </row>
    <row r="345" spans="1:11" ht="38.25" x14ac:dyDescent="0.2">
      <c r="A345" s="6" t="s">
        <v>1806</v>
      </c>
      <c r="B345" s="6" t="s">
        <v>1875</v>
      </c>
      <c r="C345" s="6" t="s">
        <v>1745</v>
      </c>
      <c r="D345" s="6" t="s">
        <v>2464</v>
      </c>
      <c r="E345" s="6" t="s">
        <v>646</v>
      </c>
      <c r="F345" s="6" t="s">
        <v>550</v>
      </c>
      <c r="G345" s="6" t="s">
        <v>2189</v>
      </c>
      <c r="H345" s="6" t="s">
        <v>2029</v>
      </c>
      <c r="I345" s="6">
        <v>2</v>
      </c>
      <c r="J345" s="6">
        <v>25</v>
      </c>
      <c r="K345" s="6">
        <v>0</v>
      </c>
    </row>
    <row r="346" spans="1:11" ht="76.5" x14ac:dyDescent="0.2">
      <c r="A346" s="8" t="s">
        <v>589</v>
      </c>
      <c r="B346" s="14" t="s">
        <v>1858</v>
      </c>
      <c r="C346" s="13" t="s">
        <v>4319</v>
      </c>
      <c r="D346" s="6" t="s">
        <v>2440</v>
      </c>
      <c r="E346" s="6" t="s">
        <v>646</v>
      </c>
      <c r="F346" s="6" t="s">
        <v>550</v>
      </c>
      <c r="G346" s="6" t="s">
        <v>2182</v>
      </c>
      <c r="H346" s="6" t="s">
        <v>2798</v>
      </c>
      <c r="I346" s="6">
        <v>2</v>
      </c>
      <c r="J346" s="6">
        <v>8</v>
      </c>
      <c r="K346" s="6">
        <v>0</v>
      </c>
    </row>
    <row r="347" spans="1:11" ht="140.25" x14ac:dyDescent="0.2">
      <c r="A347" s="8" t="s">
        <v>1766</v>
      </c>
      <c r="B347" s="6" t="s">
        <v>1840</v>
      </c>
      <c r="C347" s="6" t="s">
        <v>1741</v>
      </c>
      <c r="D347" s="6" t="s">
        <v>2420</v>
      </c>
      <c r="E347" s="6" t="s">
        <v>646</v>
      </c>
      <c r="F347" s="6" t="s">
        <v>550</v>
      </c>
      <c r="G347" s="6" t="s">
        <v>2112</v>
      </c>
      <c r="H347" s="6" t="s">
        <v>2783</v>
      </c>
      <c r="I347" s="6">
        <v>2</v>
      </c>
      <c r="J347" s="6">
        <v>44</v>
      </c>
      <c r="K347" s="6">
        <v>0</v>
      </c>
    </row>
    <row r="348" spans="1:11" ht="127.5" x14ac:dyDescent="0.2">
      <c r="A348" s="10" t="s">
        <v>1787</v>
      </c>
      <c r="B348" s="14" t="s">
        <v>1856</v>
      </c>
      <c r="C348" s="13" t="s">
        <v>4319</v>
      </c>
      <c r="D348" s="6" t="s">
        <v>2438</v>
      </c>
      <c r="E348" s="6" t="s">
        <v>646</v>
      </c>
      <c r="F348" s="6" t="s">
        <v>550</v>
      </c>
      <c r="G348" s="6" t="s">
        <v>2183</v>
      </c>
      <c r="H348" s="6" t="s">
        <v>2793</v>
      </c>
      <c r="I348" s="6">
        <v>2</v>
      </c>
      <c r="J348" s="6">
        <v>16</v>
      </c>
      <c r="K348" s="6">
        <v>0</v>
      </c>
    </row>
    <row r="349" spans="1:11" ht="63.75" x14ac:dyDescent="0.2">
      <c r="A349" s="12" t="s">
        <v>1794</v>
      </c>
      <c r="B349" s="6" t="s">
        <v>827</v>
      </c>
      <c r="C349" s="6" t="s">
        <v>4319</v>
      </c>
      <c r="D349" s="6" t="s">
        <v>2450</v>
      </c>
      <c r="E349" s="6" t="s">
        <v>646</v>
      </c>
      <c r="F349" s="6" t="s">
        <v>550</v>
      </c>
      <c r="G349" s="6" t="s">
        <v>2206</v>
      </c>
      <c r="H349" s="6" t="s">
        <v>2813</v>
      </c>
      <c r="I349" s="6">
        <v>2</v>
      </c>
      <c r="J349" s="6">
        <v>38</v>
      </c>
      <c r="K349" s="6">
        <v>0</v>
      </c>
    </row>
    <row r="350" spans="1:11" ht="25.5" x14ac:dyDescent="0.2">
      <c r="A350" s="11" t="s">
        <v>1810</v>
      </c>
      <c r="B350" s="6" t="s">
        <v>1876</v>
      </c>
      <c r="C350" s="6" t="s">
        <v>1745</v>
      </c>
      <c r="D350" s="6" t="s">
        <v>2468</v>
      </c>
      <c r="E350" s="6" t="s">
        <v>646</v>
      </c>
      <c r="F350" s="6" t="s">
        <v>550</v>
      </c>
      <c r="G350" s="6" t="s">
        <v>2208</v>
      </c>
      <c r="H350" s="6" t="s">
        <v>2443</v>
      </c>
      <c r="I350" s="6">
        <v>2</v>
      </c>
      <c r="J350" s="6">
        <v>5</v>
      </c>
      <c r="K350" s="6">
        <v>0</v>
      </c>
    </row>
    <row r="351" spans="1:11" ht="51" x14ac:dyDescent="0.2">
      <c r="A351" s="7" t="s">
        <v>1809</v>
      </c>
      <c r="B351" s="6" t="s">
        <v>823</v>
      </c>
      <c r="C351" s="6" t="s">
        <v>1745</v>
      </c>
      <c r="D351" s="6" t="s">
        <v>2467</v>
      </c>
      <c r="E351" s="6" t="s">
        <v>646</v>
      </c>
      <c r="F351" s="6" t="s">
        <v>550</v>
      </c>
      <c r="G351" s="6" t="s">
        <v>2207</v>
      </c>
      <c r="H351" s="14" t="s">
        <v>2824</v>
      </c>
      <c r="I351" s="6">
        <v>2</v>
      </c>
      <c r="J351" s="6">
        <v>10</v>
      </c>
      <c r="K351" s="6">
        <v>0</v>
      </c>
    </row>
    <row r="352" spans="1:11" ht="63.75" x14ac:dyDescent="0.2">
      <c r="A352" s="11" t="s">
        <v>1759</v>
      </c>
      <c r="B352" s="6" t="s">
        <v>1833</v>
      </c>
      <c r="C352" s="6" t="s">
        <v>1741</v>
      </c>
      <c r="D352" s="6" t="s">
        <v>2413</v>
      </c>
      <c r="E352" s="6" t="s">
        <v>646</v>
      </c>
      <c r="F352" s="6" t="s">
        <v>550</v>
      </c>
      <c r="G352" s="6" t="s">
        <v>2114</v>
      </c>
      <c r="H352" s="6" t="s">
        <v>2778</v>
      </c>
      <c r="I352" s="6">
        <v>2</v>
      </c>
      <c r="J352" s="6">
        <v>13</v>
      </c>
      <c r="K352" s="6">
        <v>0</v>
      </c>
    </row>
    <row r="353" spans="1:11" ht="63.75" x14ac:dyDescent="0.2">
      <c r="A353" s="11" t="s">
        <v>1803</v>
      </c>
      <c r="B353" s="6" t="s">
        <v>1872</v>
      </c>
      <c r="C353" s="6" t="s">
        <v>1745</v>
      </c>
      <c r="D353" s="6" t="s">
        <v>2461</v>
      </c>
      <c r="E353" s="6" t="s">
        <v>646</v>
      </c>
      <c r="F353" s="6" t="s">
        <v>550</v>
      </c>
      <c r="G353" s="6" t="s">
        <v>2185</v>
      </c>
      <c r="H353" s="6" t="s">
        <v>2819</v>
      </c>
      <c r="I353" s="6">
        <v>2</v>
      </c>
      <c r="J353" s="6">
        <v>6</v>
      </c>
      <c r="K353" s="6">
        <v>0</v>
      </c>
    </row>
    <row r="354" spans="1:11" ht="63.75" x14ac:dyDescent="0.2">
      <c r="A354" s="11" t="s">
        <v>1802</v>
      </c>
      <c r="B354" s="6" t="s">
        <v>1871</v>
      </c>
      <c r="C354" s="6" t="s">
        <v>1745</v>
      </c>
      <c r="D354" s="6" t="s">
        <v>2460</v>
      </c>
      <c r="E354" s="6" t="s">
        <v>646</v>
      </c>
      <c r="F354" s="6" t="s">
        <v>550</v>
      </c>
      <c r="G354" s="6" t="s">
        <v>2186</v>
      </c>
      <c r="H354" s="6" t="s">
        <v>2817</v>
      </c>
      <c r="I354" s="6">
        <v>2</v>
      </c>
      <c r="J354" s="6">
        <v>6</v>
      </c>
      <c r="K354" s="6">
        <v>0</v>
      </c>
    </row>
    <row r="355" spans="1:11" ht="51" x14ac:dyDescent="0.2">
      <c r="A355" s="11" t="s">
        <v>1760</v>
      </c>
      <c r="B355" s="13" t="s">
        <v>1834</v>
      </c>
      <c r="C355" s="6" t="s">
        <v>1741</v>
      </c>
      <c r="D355" s="6" t="s">
        <v>2414</v>
      </c>
      <c r="E355" s="6" t="s">
        <v>646</v>
      </c>
      <c r="F355" s="6" t="s">
        <v>550</v>
      </c>
      <c r="G355" s="6" t="s">
        <v>2106</v>
      </c>
      <c r="H355" s="6" t="s">
        <v>2779</v>
      </c>
      <c r="I355" s="6">
        <v>2</v>
      </c>
      <c r="J355" s="6">
        <v>5</v>
      </c>
      <c r="K355" s="6">
        <v>0</v>
      </c>
    </row>
    <row r="356" spans="1:11" ht="51" x14ac:dyDescent="0.2">
      <c r="A356" s="11" t="s">
        <v>1761</v>
      </c>
      <c r="B356" s="6" t="s">
        <v>1835</v>
      </c>
      <c r="C356" s="6" t="s">
        <v>1741</v>
      </c>
      <c r="D356" s="6" t="s">
        <v>2415</v>
      </c>
      <c r="E356" s="6" t="s">
        <v>646</v>
      </c>
      <c r="F356" s="6" t="s">
        <v>550</v>
      </c>
      <c r="G356" s="6" t="s">
        <v>2108</v>
      </c>
      <c r="H356" s="6" t="s">
        <v>2779</v>
      </c>
      <c r="I356" s="6">
        <v>2</v>
      </c>
      <c r="J356" s="6">
        <v>5</v>
      </c>
      <c r="K356" s="6">
        <v>0</v>
      </c>
    </row>
    <row r="357" spans="1:11" ht="38.25" x14ac:dyDescent="0.2">
      <c r="A357" s="11" t="s">
        <v>556</v>
      </c>
      <c r="B357" s="6" t="s">
        <v>782</v>
      </c>
      <c r="C357" s="6" t="s">
        <v>1925</v>
      </c>
      <c r="D357" s="6" t="s">
        <v>1961</v>
      </c>
      <c r="E357" s="6" t="s">
        <v>646</v>
      </c>
      <c r="F357" s="6" t="s">
        <v>550</v>
      </c>
      <c r="G357" s="6" t="s">
        <v>1959</v>
      </c>
      <c r="H357" s="6" t="s">
        <v>2528</v>
      </c>
      <c r="I357" s="6">
        <v>2</v>
      </c>
      <c r="J357" s="6">
        <v>6</v>
      </c>
      <c r="K357" s="6">
        <v>0</v>
      </c>
    </row>
    <row r="358" spans="1:11" ht="153" x14ac:dyDescent="0.2">
      <c r="A358" s="11" t="s">
        <v>1556</v>
      </c>
      <c r="B358" s="6" t="s">
        <v>1690</v>
      </c>
      <c r="C358" s="6" t="s">
        <v>4322</v>
      </c>
      <c r="D358" s="6" t="s">
        <v>2229</v>
      </c>
      <c r="E358" s="6" t="s">
        <v>646</v>
      </c>
      <c r="F358" s="6" t="s">
        <v>1557</v>
      </c>
      <c r="G358" s="6" t="s">
        <v>3985</v>
      </c>
      <c r="H358" s="6" t="s">
        <v>2703</v>
      </c>
      <c r="I358" s="6">
        <v>2</v>
      </c>
      <c r="J358" s="6">
        <v>12</v>
      </c>
      <c r="K358" s="6">
        <v>0</v>
      </c>
    </row>
    <row r="359" spans="1:11" ht="51" x14ac:dyDescent="0.2">
      <c r="A359" s="11" t="s">
        <v>4392</v>
      </c>
      <c r="B359" s="6" t="s">
        <v>4406</v>
      </c>
      <c r="C359" s="6" t="s">
        <v>4380</v>
      </c>
      <c r="D359" s="6" t="s">
        <v>4394</v>
      </c>
      <c r="E359" s="6" t="s">
        <v>646</v>
      </c>
      <c r="F359" s="6" t="s">
        <v>4393</v>
      </c>
      <c r="G359" s="6" t="s">
        <v>4412</v>
      </c>
      <c r="H359" s="6" t="s">
        <v>2295</v>
      </c>
      <c r="I359" s="6">
        <v>2</v>
      </c>
      <c r="J359" s="6">
        <v>7</v>
      </c>
      <c r="K359" s="6">
        <v>0</v>
      </c>
    </row>
    <row r="360" spans="1:11" ht="25.5" x14ac:dyDescent="0.2">
      <c r="A360" s="8" t="s">
        <v>1800</v>
      </c>
      <c r="B360" s="6" t="s">
        <v>1869</v>
      </c>
      <c r="C360" s="6" t="s">
        <v>1745</v>
      </c>
      <c r="D360" s="6" t="s">
        <v>2458</v>
      </c>
      <c r="E360" s="6" t="s">
        <v>646</v>
      </c>
      <c r="F360" s="6" t="s">
        <v>550</v>
      </c>
      <c r="G360" s="6" t="s">
        <v>2111</v>
      </c>
      <c r="H360" s="6" t="s">
        <v>2816</v>
      </c>
      <c r="I360" s="6">
        <v>2</v>
      </c>
      <c r="J360" s="6">
        <v>5</v>
      </c>
      <c r="K360" s="6">
        <v>0</v>
      </c>
    </row>
    <row r="361" spans="1:11" ht="25.5" x14ac:dyDescent="0.2">
      <c r="A361" s="11" t="s">
        <v>3116</v>
      </c>
      <c r="B361" s="6" t="s">
        <v>3169</v>
      </c>
      <c r="C361" s="6" t="s">
        <v>3110</v>
      </c>
      <c r="D361" s="6" t="s">
        <v>3118</v>
      </c>
      <c r="E361" s="6" t="s">
        <v>646</v>
      </c>
      <c r="F361" s="6" t="s">
        <v>3117</v>
      </c>
      <c r="G361" s="6" t="s">
        <v>3115</v>
      </c>
      <c r="H361" s="14" t="s">
        <v>785</v>
      </c>
      <c r="I361" s="6">
        <v>2</v>
      </c>
      <c r="J361" s="6">
        <v>15</v>
      </c>
      <c r="K361" s="6">
        <v>0</v>
      </c>
    </row>
    <row r="362" spans="1:11" ht="25.5" x14ac:dyDescent="0.2">
      <c r="A362" s="8" t="s">
        <v>1599</v>
      </c>
      <c r="B362" s="6" t="s">
        <v>1731</v>
      </c>
      <c r="C362" s="6" t="s">
        <v>4208</v>
      </c>
      <c r="D362" s="6" t="s">
        <v>2400</v>
      </c>
      <c r="E362" s="6" t="s">
        <v>646</v>
      </c>
      <c r="F362" s="6" t="s">
        <v>550</v>
      </c>
      <c r="G362" s="6" t="s">
        <v>2043</v>
      </c>
      <c r="H362" s="6" t="s">
        <v>2776</v>
      </c>
      <c r="I362" s="6">
        <v>2</v>
      </c>
      <c r="J362" s="6">
        <v>26</v>
      </c>
      <c r="K362" s="6">
        <v>0</v>
      </c>
    </row>
    <row r="363" spans="1:11" ht="76.5" x14ac:dyDescent="0.2">
      <c r="A363" s="11" t="s">
        <v>2993</v>
      </c>
      <c r="B363" s="6" t="s">
        <v>891</v>
      </c>
      <c r="C363" s="6" t="s">
        <v>4032</v>
      </c>
      <c r="D363" s="6" t="s">
        <v>2367</v>
      </c>
      <c r="E363" s="6" t="s">
        <v>646</v>
      </c>
      <c r="F363" s="6" t="s">
        <v>1590</v>
      </c>
      <c r="G363" s="6" t="s">
        <v>2292</v>
      </c>
      <c r="H363" s="6" t="s">
        <v>2770</v>
      </c>
      <c r="I363" s="6">
        <v>2</v>
      </c>
      <c r="J363" s="6">
        <v>23</v>
      </c>
      <c r="K363" s="6">
        <v>0</v>
      </c>
    </row>
    <row r="364" spans="1:11" ht="38.25" x14ac:dyDescent="0.2">
      <c r="A364" s="6" t="s">
        <v>1935</v>
      </c>
      <c r="B364" s="6" t="s">
        <v>794</v>
      </c>
      <c r="C364" s="6" t="s">
        <v>560</v>
      </c>
      <c r="D364" s="6" t="s">
        <v>1979</v>
      </c>
      <c r="E364" s="6" t="s">
        <v>646</v>
      </c>
      <c r="F364" s="6" t="s">
        <v>550</v>
      </c>
      <c r="G364" s="6" t="s">
        <v>1968</v>
      </c>
      <c r="H364" s="6" t="s">
        <v>2545</v>
      </c>
      <c r="I364" s="6">
        <v>2</v>
      </c>
      <c r="J364" s="6">
        <v>11</v>
      </c>
      <c r="K364" s="6">
        <v>0</v>
      </c>
    </row>
    <row r="365" spans="1:11" ht="89.25" x14ac:dyDescent="0.2">
      <c r="A365" s="8" t="s">
        <v>1934</v>
      </c>
      <c r="B365" s="6" t="s">
        <v>793</v>
      </c>
      <c r="C365" s="6" t="s">
        <v>560</v>
      </c>
      <c r="D365" s="6" t="s">
        <v>1978</v>
      </c>
      <c r="E365" s="6" t="s">
        <v>646</v>
      </c>
      <c r="F365" s="6" t="s">
        <v>550</v>
      </c>
      <c r="G365" s="6" t="s">
        <v>1967</v>
      </c>
      <c r="H365" s="6" t="s">
        <v>2543</v>
      </c>
      <c r="I365" s="6">
        <v>2</v>
      </c>
      <c r="J365" s="6">
        <v>18</v>
      </c>
      <c r="K365" s="6">
        <v>0</v>
      </c>
    </row>
    <row r="366" spans="1:11" ht="102" x14ac:dyDescent="0.2">
      <c r="A366" s="11" t="s">
        <v>1058</v>
      </c>
      <c r="B366" s="6" t="s">
        <v>791</v>
      </c>
      <c r="C366" s="6" t="s">
        <v>560</v>
      </c>
      <c r="D366" s="6" t="s">
        <v>1976</v>
      </c>
      <c r="E366" s="6" t="s">
        <v>646</v>
      </c>
      <c r="F366" s="6" t="s">
        <v>564</v>
      </c>
      <c r="G366" s="6" t="s">
        <v>2535</v>
      </c>
      <c r="H366" s="6" t="s">
        <v>2541</v>
      </c>
      <c r="I366" s="6">
        <v>2</v>
      </c>
      <c r="J366" s="6">
        <v>45</v>
      </c>
      <c r="K366" s="6">
        <v>0</v>
      </c>
    </row>
    <row r="367" spans="1:11" ht="153" x14ac:dyDescent="0.2">
      <c r="A367" s="11" t="s">
        <v>559</v>
      </c>
      <c r="B367" s="6" t="s">
        <v>786</v>
      </c>
      <c r="C367" s="6" t="s">
        <v>560</v>
      </c>
      <c r="D367" s="6" t="s">
        <v>1971</v>
      </c>
      <c r="E367" s="6" t="s">
        <v>646</v>
      </c>
      <c r="F367" s="6" t="s">
        <v>550</v>
      </c>
      <c r="G367" s="6" t="s">
        <v>2154</v>
      </c>
      <c r="H367" s="6" t="s">
        <v>2537</v>
      </c>
      <c r="I367" s="6">
        <v>2</v>
      </c>
      <c r="J367" s="6">
        <v>52</v>
      </c>
      <c r="K367" s="6">
        <v>0</v>
      </c>
    </row>
    <row r="368" spans="1:11" ht="114.75" x14ac:dyDescent="0.2">
      <c r="A368" s="11" t="s">
        <v>1059</v>
      </c>
      <c r="B368" s="6" t="s">
        <v>792</v>
      </c>
      <c r="C368" s="6" t="s">
        <v>560</v>
      </c>
      <c r="D368" s="6" t="s">
        <v>1977</v>
      </c>
      <c r="E368" s="6" t="s">
        <v>646</v>
      </c>
      <c r="F368" s="6" t="s">
        <v>550</v>
      </c>
      <c r="G368" s="6" t="s">
        <v>1966</v>
      </c>
      <c r="H368" s="6" t="s">
        <v>2542</v>
      </c>
      <c r="I368" s="6">
        <v>2</v>
      </c>
      <c r="J368" s="6">
        <v>25</v>
      </c>
      <c r="K368" s="6">
        <v>0</v>
      </c>
    </row>
    <row r="369" spans="1:11" ht="127.5" x14ac:dyDescent="0.2">
      <c r="A369" s="11" t="s">
        <v>1207</v>
      </c>
      <c r="B369" s="6" t="s">
        <v>796</v>
      </c>
      <c r="C369" s="6" t="s">
        <v>560</v>
      </c>
      <c r="D369" s="6" t="s">
        <v>1981</v>
      </c>
      <c r="E369" s="6" t="s">
        <v>646</v>
      </c>
      <c r="F369" s="6" t="s">
        <v>550</v>
      </c>
      <c r="G369" s="6" t="s">
        <v>1969</v>
      </c>
      <c r="H369" s="6" t="s">
        <v>2548</v>
      </c>
      <c r="I369" s="6">
        <v>2</v>
      </c>
      <c r="J369" s="6">
        <v>19</v>
      </c>
      <c r="K369" s="6">
        <v>0</v>
      </c>
    </row>
    <row r="370" spans="1:11" ht="76.5" x14ac:dyDescent="0.2">
      <c r="A370" s="8" t="s">
        <v>1586</v>
      </c>
      <c r="B370" s="6" t="s">
        <v>1721</v>
      </c>
      <c r="C370" s="6" t="s">
        <v>4032</v>
      </c>
      <c r="D370" s="6" t="s">
        <v>2357</v>
      </c>
      <c r="E370" s="6" t="s">
        <v>646</v>
      </c>
      <c r="F370" s="6" t="s">
        <v>3849</v>
      </c>
      <c r="G370" s="6" t="s">
        <v>2988</v>
      </c>
      <c r="H370" s="6" t="s">
        <v>3189</v>
      </c>
      <c r="I370" s="6">
        <v>2</v>
      </c>
      <c r="J370" s="6">
        <v>36</v>
      </c>
      <c r="K370" s="6">
        <v>0</v>
      </c>
    </row>
    <row r="371" spans="1:11" ht="409.5" x14ac:dyDescent="0.2">
      <c r="A371" s="11" t="s">
        <v>645</v>
      </c>
      <c r="B371" s="6" t="s">
        <v>864</v>
      </c>
      <c r="C371" s="6" t="s">
        <v>4381</v>
      </c>
      <c r="D371" s="6" t="s">
        <v>2505</v>
      </c>
      <c r="E371" s="6" t="s">
        <v>646</v>
      </c>
      <c r="F371" s="6" t="s">
        <v>550</v>
      </c>
      <c r="G371" s="6" t="s">
        <v>4123</v>
      </c>
      <c r="H371" s="6" t="s">
        <v>4408</v>
      </c>
      <c r="I371" s="6">
        <v>2</v>
      </c>
      <c r="J371" s="6">
        <v>92</v>
      </c>
      <c r="K371" s="6">
        <v>0</v>
      </c>
    </row>
    <row r="372" spans="1:11" ht="63.75" x14ac:dyDescent="0.2">
      <c r="A372" s="11" t="s">
        <v>1593</v>
      </c>
      <c r="B372" s="6" t="s">
        <v>1729</v>
      </c>
      <c r="C372" s="13" t="s">
        <v>4032</v>
      </c>
      <c r="D372" s="6" t="s">
        <v>2381</v>
      </c>
      <c r="E372" s="6" t="s">
        <v>646</v>
      </c>
      <c r="F372" s="6" t="s">
        <v>1594</v>
      </c>
      <c r="G372" s="6" t="s">
        <v>2189</v>
      </c>
      <c r="H372" s="6" t="s">
        <v>2773</v>
      </c>
      <c r="I372" s="6">
        <v>2</v>
      </c>
      <c r="J372" s="6">
        <v>15</v>
      </c>
      <c r="K372" s="6">
        <v>0</v>
      </c>
    </row>
    <row r="373" spans="1:11" ht="38.25" x14ac:dyDescent="0.2">
      <c r="A373" s="12" t="s">
        <v>1920</v>
      </c>
      <c r="B373" s="6" t="s">
        <v>1704</v>
      </c>
      <c r="C373" s="6" t="s">
        <v>2891</v>
      </c>
      <c r="D373" s="6" t="s">
        <v>2290</v>
      </c>
      <c r="E373" s="6" t="s">
        <v>646</v>
      </c>
      <c r="F373" s="6" t="s">
        <v>550</v>
      </c>
      <c r="G373" s="6" t="s">
        <v>2078</v>
      </c>
      <c r="H373" s="6" t="s">
        <v>2735</v>
      </c>
      <c r="I373" s="6">
        <v>2</v>
      </c>
      <c r="J373" s="6">
        <v>25</v>
      </c>
      <c r="K373" s="6">
        <v>0</v>
      </c>
    </row>
    <row r="374" spans="1:11" ht="25.5" x14ac:dyDescent="0.2">
      <c r="A374" s="11" t="s">
        <v>1591</v>
      </c>
      <c r="B374" s="6" t="s">
        <v>1725</v>
      </c>
      <c r="C374" s="6" t="s">
        <v>4032</v>
      </c>
      <c r="D374" s="6" t="s">
        <v>2368</v>
      </c>
      <c r="E374" s="6" t="s">
        <v>646</v>
      </c>
      <c r="F374" s="6" t="s">
        <v>1592</v>
      </c>
      <c r="G374" s="6" t="s">
        <v>2365</v>
      </c>
      <c r="H374" s="6" t="s">
        <v>785</v>
      </c>
      <c r="I374" s="6">
        <v>2</v>
      </c>
      <c r="J374" s="6">
        <v>5</v>
      </c>
      <c r="K374" s="6">
        <v>0</v>
      </c>
    </row>
    <row r="375" spans="1:11" ht="25.5" x14ac:dyDescent="0.2">
      <c r="A375" s="7" t="s">
        <v>660</v>
      </c>
      <c r="B375" s="6" t="s">
        <v>881</v>
      </c>
      <c r="C375" s="6" t="s">
        <v>2909</v>
      </c>
      <c r="D375" s="6" t="s">
        <v>2220</v>
      </c>
      <c r="E375" s="6" t="s">
        <v>646</v>
      </c>
      <c r="F375" s="6" t="s">
        <v>550</v>
      </c>
      <c r="G375" s="6" t="s">
        <v>2159</v>
      </c>
      <c r="H375" s="6" t="s">
        <v>2700</v>
      </c>
      <c r="I375" s="6">
        <v>2</v>
      </c>
      <c r="J375" s="6">
        <v>29</v>
      </c>
      <c r="K375" s="6">
        <v>0</v>
      </c>
    </row>
    <row r="376" spans="1:11" ht="89.25" x14ac:dyDescent="0.2">
      <c r="A376" s="11" t="s">
        <v>4061</v>
      </c>
      <c r="B376" s="14" t="s">
        <v>4108</v>
      </c>
      <c r="C376" s="6" t="s">
        <v>4387</v>
      </c>
      <c r="D376" s="6" t="s">
        <v>4062</v>
      </c>
      <c r="E376" s="6" t="s">
        <v>646</v>
      </c>
      <c r="F376" s="6" t="s">
        <v>550</v>
      </c>
      <c r="G376" s="6" t="s">
        <v>4054</v>
      </c>
      <c r="H376" s="6" t="s">
        <v>4110</v>
      </c>
      <c r="I376" s="6">
        <v>2</v>
      </c>
      <c r="J376" s="6">
        <v>62</v>
      </c>
      <c r="K376" s="6">
        <v>0</v>
      </c>
    </row>
    <row r="377" spans="1:11" ht="76.5" x14ac:dyDescent="0.2">
      <c r="A377" s="11" t="s">
        <v>1069</v>
      </c>
      <c r="B377" s="6" t="s">
        <v>805</v>
      </c>
      <c r="C377" s="6" t="s">
        <v>4030</v>
      </c>
      <c r="D377" s="6" t="s">
        <v>2315</v>
      </c>
      <c r="E377" s="6" t="s">
        <v>646</v>
      </c>
      <c r="F377" s="6" t="s">
        <v>550</v>
      </c>
      <c r="G377" s="6" t="s">
        <v>2176</v>
      </c>
      <c r="H377" s="6" t="s">
        <v>2744</v>
      </c>
      <c r="I377" s="6">
        <v>2</v>
      </c>
      <c r="J377" s="6">
        <v>15</v>
      </c>
      <c r="K377" s="6">
        <v>0</v>
      </c>
    </row>
    <row r="378" spans="1:11" ht="127.5" x14ac:dyDescent="0.2">
      <c r="A378" s="12" t="s">
        <v>1581</v>
      </c>
      <c r="B378" s="6" t="s">
        <v>1716</v>
      </c>
      <c r="C378" s="6" t="s">
        <v>4030</v>
      </c>
      <c r="D378" s="6" t="s">
        <v>2316</v>
      </c>
      <c r="E378" s="6" t="s">
        <v>646</v>
      </c>
      <c r="F378" s="6" t="s">
        <v>550</v>
      </c>
      <c r="G378" s="6" t="s">
        <v>2059</v>
      </c>
      <c r="H378" s="6" t="s">
        <v>2745</v>
      </c>
      <c r="I378" s="6">
        <v>2</v>
      </c>
      <c r="J378" s="6">
        <v>27</v>
      </c>
      <c r="K378" s="6">
        <v>0</v>
      </c>
    </row>
    <row r="379" spans="1:11" ht="38.25" x14ac:dyDescent="0.2">
      <c r="A379" s="12" t="s">
        <v>2881</v>
      </c>
      <c r="B379" s="6" t="s">
        <v>2907</v>
      </c>
      <c r="C379" s="6" t="s">
        <v>4030</v>
      </c>
      <c r="D379" s="6" t="s">
        <v>2882</v>
      </c>
      <c r="E379" s="6" t="s">
        <v>646</v>
      </c>
      <c r="F379" s="6" t="s">
        <v>550</v>
      </c>
      <c r="G379" s="6" t="s">
        <v>2876</v>
      </c>
      <c r="H379" s="6" t="s">
        <v>2890</v>
      </c>
      <c r="I379" s="6">
        <v>2</v>
      </c>
      <c r="J379" s="6">
        <v>25</v>
      </c>
      <c r="K379" s="6">
        <v>0</v>
      </c>
    </row>
    <row r="380" spans="1:11" ht="51" x14ac:dyDescent="0.2">
      <c r="A380" s="11" t="s">
        <v>3886</v>
      </c>
      <c r="B380" s="6" t="s">
        <v>3937</v>
      </c>
      <c r="C380" s="6" t="s">
        <v>4324</v>
      </c>
      <c r="D380" s="6" t="s">
        <v>3887</v>
      </c>
      <c r="E380" s="6" t="s">
        <v>646</v>
      </c>
      <c r="F380" s="6" t="s">
        <v>550</v>
      </c>
      <c r="G380" s="6" t="s">
        <v>3926</v>
      </c>
      <c r="H380" s="6" t="s">
        <v>785</v>
      </c>
      <c r="I380" s="6">
        <v>2</v>
      </c>
      <c r="J380" s="6">
        <v>7</v>
      </c>
      <c r="K380" s="6">
        <v>0</v>
      </c>
    </row>
    <row r="381" spans="1:11" ht="63.75" x14ac:dyDescent="0.2">
      <c r="A381" s="8" t="s">
        <v>575</v>
      </c>
      <c r="B381" s="13" t="s">
        <v>809</v>
      </c>
      <c r="C381" s="6" t="s">
        <v>4030</v>
      </c>
      <c r="D381" s="6" t="s">
        <v>2320</v>
      </c>
      <c r="E381" s="6" t="s">
        <v>646</v>
      </c>
      <c r="F381" s="6" t="s">
        <v>550</v>
      </c>
      <c r="G381" s="6" t="s">
        <v>2080</v>
      </c>
      <c r="H381" s="6" t="s">
        <v>2748</v>
      </c>
      <c r="I381" s="6">
        <v>2</v>
      </c>
      <c r="J381" s="6">
        <v>35</v>
      </c>
      <c r="K381" s="6">
        <v>0</v>
      </c>
    </row>
    <row r="382" spans="1:11" ht="38.25" x14ac:dyDescent="0.2">
      <c r="A382" s="8" t="s">
        <v>1578</v>
      </c>
      <c r="B382" s="6" t="s">
        <v>1713</v>
      </c>
      <c r="C382" s="6" t="s">
        <v>4030</v>
      </c>
      <c r="D382" s="6" t="s">
        <v>2312</v>
      </c>
      <c r="E382" s="6" t="s">
        <v>646</v>
      </c>
      <c r="F382" s="6" t="s">
        <v>1921</v>
      </c>
      <c r="G382" s="6" t="s">
        <v>2067</v>
      </c>
      <c r="H382" s="6" t="s">
        <v>2741</v>
      </c>
      <c r="I382" s="6">
        <v>2</v>
      </c>
      <c r="J382" s="6">
        <v>3</v>
      </c>
      <c r="K382" s="6">
        <v>0</v>
      </c>
    </row>
    <row r="383" spans="1:11" ht="38.25" x14ac:dyDescent="0.2">
      <c r="A383" s="11" t="s">
        <v>1579</v>
      </c>
      <c r="B383" s="6" t="s">
        <v>1714</v>
      </c>
      <c r="C383" s="6" t="s">
        <v>4030</v>
      </c>
      <c r="D383" s="6" t="s">
        <v>2313</v>
      </c>
      <c r="E383" s="6" t="s">
        <v>646</v>
      </c>
      <c r="F383" s="6" t="s">
        <v>1921</v>
      </c>
      <c r="G383" s="6" t="s">
        <v>2057</v>
      </c>
      <c r="H383" s="6" t="s">
        <v>2741</v>
      </c>
      <c r="I383" s="6">
        <v>2</v>
      </c>
      <c r="J383" s="6">
        <v>3</v>
      </c>
      <c r="K383" s="6">
        <v>0</v>
      </c>
    </row>
    <row r="384" spans="1:11" ht="51" x14ac:dyDescent="0.2">
      <c r="A384" s="12" t="s">
        <v>1576</v>
      </c>
      <c r="B384" s="6" t="s">
        <v>1711</v>
      </c>
      <c r="C384" s="6" t="s">
        <v>4030</v>
      </c>
      <c r="D384" s="6" t="s">
        <v>2310</v>
      </c>
      <c r="E384" s="6" t="s">
        <v>646</v>
      </c>
      <c r="F384" s="6" t="s">
        <v>1921</v>
      </c>
      <c r="G384" s="6" t="s">
        <v>2061</v>
      </c>
      <c r="H384" s="6" t="s">
        <v>2740</v>
      </c>
      <c r="I384" s="6">
        <v>2</v>
      </c>
      <c r="J384" s="6">
        <v>8</v>
      </c>
      <c r="K384" s="6">
        <v>0</v>
      </c>
    </row>
    <row r="385" spans="1:11" ht="38.25" x14ac:dyDescent="0.2">
      <c r="A385" s="10" t="s">
        <v>1580</v>
      </c>
      <c r="B385" s="6" t="s">
        <v>1715</v>
      </c>
      <c r="C385" s="13" t="s">
        <v>4030</v>
      </c>
      <c r="D385" s="6" t="s">
        <v>2314</v>
      </c>
      <c r="E385" s="6" t="s">
        <v>646</v>
      </c>
      <c r="F385" s="6" t="s">
        <v>1921</v>
      </c>
      <c r="G385" s="6" t="s">
        <v>2069</v>
      </c>
      <c r="H385" s="14" t="s">
        <v>2741</v>
      </c>
      <c r="I385" s="6">
        <v>2</v>
      </c>
      <c r="J385" s="6">
        <v>3</v>
      </c>
      <c r="K385" s="6">
        <v>0</v>
      </c>
    </row>
    <row r="386" spans="1:11" ht="38.25" x14ac:dyDescent="0.2">
      <c r="A386" s="6" t="s">
        <v>1577</v>
      </c>
      <c r="B386" s="6" t="s">
        <v>1712</v>
      </c>
      <c r="C386" s="6" t="s">
        <v>4030</v>
      </c>
      <c r="D386" s="6" t="s">
        <v>2311</v>
      </c>
      <c r="E386" s="6" t="s">
        <v>646</v>
      </c>
      <c r="F386" s="6" t="s">
        <v>1921</v>
      </c>
      <c r="G386" s="6" t="s">
        <v>2174</v>
      </c>
      <c r="H386" s="6" t="s">
        <v>2741</v>
      </c>
      <c r="I386" s="6">
        <v>2</v>
      </c>
      <c r="J386" s="6">
        <v>3</v>
      </c>
      <c r="K386" s="6">
        <v>0</v>
      </c>
    </row>
    <row r="387" spans="1:11" ht="89.25" x14ac:dyDescent="0.2">
      <c r="A387" s="8" t="s">
        <v>659</v>
      </c>
      <c r="B387" s="14" t="s">
        <v>880</v>
      </c>
      <c r="C387" s="13" t="s">
        <v>2909</v>
      </c>
      <c r="D387" s="6" t="s">
        <v>2219</v>
      </c>
      <c r="E387" s="6" t="s">
        <v>646</v>
      </c>
      <c r="F387" s="6" t="s">
        <v>1919</v>
      </c>
      <c r="G387" s="6" t="s">
        <v>2640</v>
      </c>
      <c r="H387" s="6" t="s">
        <v>2699</v>
      </c>
      <c r="I387" s="6">
        <v>2</v>
      </c>
      <c r="J387" s="6">
        <v>76</v>
      </c>
      <c r="K387" s="6">
        <v>0</v>
      </c>
    </row>
    <row r="388" spans="1:11" ht="63.75" x14ac:dyDescent="0.2">
      <c r="A388" s="6" t="s">
        <v>3965</v>
      </c>
      <c r="B388" s="6" t="s">
        <v>3982</v>
      </c>
      <c r="C388" s="6" t="s">
        <v>4018</v>
      </c>
      <c r="D388" s="6" t="s">
        <v>3966</v>
      </c>
      <c r="E388" s="6" t="s">
        <v>646</v>
      </c>
      <c r="F388" s="6" t="s">
        <v>550</v>
      </c>
      <c r="G388" s="6" t="s">
        <v>3988</v>
      </c>
      <c r="H388" s="6" t="s">
        <v>3983</v>
      </c>
      <c r="I388" s="6">
        <v>2</v>
      </c>
      <c r="J388" s="6">
        <v>6</v>
      </c>
      <c r="K388" s="6">
        <v>0</v>
      </c>
    </row>
    <row r="389" spans="1:11" ht="76.5" x14ac:dyDescent="0.2">
      <c r="A389" s="11" t="s">
        <v>3980</v>
      </c>
      <c r="B389" s="6" t="s">
        <v>4004</v>
      </c>
      <c r="C389" s="6" t="s">
        <v>4324</v>
      </c>
      <c r="D389" s="6" t="s">
        <v>3981</v>
      </c>
      <c r="E389" s="6" t="s">
        <v>646</v>
      </c>
      <c r="F389" s="6" t="s">
        <v>550</v>
      </c>
      <c r="G389" s="6" t="s">
        <v>3979</v>
      </c>
      <c r="H389" s="6" t="s">
        <v>4351</v>
      </c>
      <c r="I389" s="6">
        <v>2</v>
      </c>
      <c r="J389" s="6">
        <v>9</v>
      </c>
      <c r="K389" s="6">
        <v>0</v>
      </c>
    </row>
    <row r="390" spans="1:11" ht="76.5" x14ac:dyDescent="0.2">
      <c r="A390" s="11" t="s">
        <v>4186</v>
      </c>
      <c r="B390" s="6" t="s">
        <v>4209</v>
      </c>
      <c r="C390" s="6" t="s">
        <v>4208</v>
      </c>
      <c r="D390" s="6" t="s">
        <v>4188</v>
      </c>
      <c r="E390" s="6" t="s">
        <v>646</v>
      </c>
      <c r="F390" s="6" t="s">
        <v>4187</v>
      </c>
      <c r="G390" s="6" t="s">
        <v>4347</v>
      </c>
      <c r="H390" s="6" t="s">
        <v>3969</v>
      </c>
      <c r="I390" s="6">
        <v>2</v>
      </c>
      <c r="J390" s="6">
        <v>5</v>
      </c>
      <c r="K390" s="6">
        <v>0</v>
      </c>
    </row>
    <row r="391" spans="1:11" ht="102" x14ac:dyDescent="0.2">
      <c r="A391" s="11" t="s">
        <v>675</v>
      </c>
      <c r="B391" s="6" t="s">
        <v>896</v>
      </c>
      <c r="C391" s="13" t="s">
        <v>4322</v>
      </c>
      <c r="D391" s="6" t="s">
        <v>2243</v>
      </c>
      <c r="E391" s="6" t="s">
        <v>646</v>
      </c>
      <c r="F391" s="6" t="s">
        <v>1100</v>
      </c>
      <c r="G391" s="6" t="s">
        <v>2854</v>
      </c>
      <c r="H391" s="6" t="s">
        <v>2711</v>
      </c>
      <c r="I391" s="6">
        <v>2</v>
      </c>
      <c r="J391" s="6">
        <v>33</v>
      </c>
      <c r="K391" s="6">
        <v>0</v>
      </c>
    </row>
    <row r="392" spans="1:11" ht="76.5" x14ac:dyDescent="0.2">
      <c r="A392" s="7" t="s">
        <v>603</v>
      </c>
      <c r="B392" s="14" t="s">
        <v>1881</v>
      </c>
      <c r="C392" s="6" t="s">
        <v>2910</v>
      </c>
      <c r="D392" s="6" t="s">
        <v>2494</v>
      </c>
      <c r="E392" s="6" t="s">
        <v>646</v>
      </c>
      <c r="F392" s="6" t="s">
        <v>604</v>
      </c>
      <c r="G392" s="6" t="s">
        <v>2858</v>
      </c>
      <c r="H392" s="6" t="s">
        <v>2838</v>
      </c>
      <c r="I392" s="6">
        <v>2</v>
      </c>
      <c r="J392" s="6">
        <v>9</v>
      </c>
      <c r="K392" s="6">
        <v>0</v>
      </c>
    </row>
    <row r="393" spans="1:11" ht="102" x14ac:dyDescent="0.2">
      <c r="A393" s="6" t="s">
        <v>1927</v>
      </c>
      <c r="B393" s="6" t="s">
        <v>1931</v>
      </c>
      <c r="C393" s="6" t="s">
        <v>4322</v>
      </c>
      <c r="D393" s="6" t="s">
        <v>2244</v>
      </c>
      <c r="E393" s="6" t="s">
        <v>646</v>
      </c>
      <c r="F393" s="6" t="s">
        <v>1054</v>
      </c>
      <c r="G393" s="6" t="s">
        <v>2856</v>
      </c>
      <c r="H393" s="6" t="s">
        <v>2713</v>
      </c>
      <c r="I393" s="6">
        <v>2</v>
      </c>
      <c r="J393" s="6">
        <v>10</v>
      </c>
      <c r="K393" s="6">
        <v>0</v>
      </c>
    </row>
    <row r="394" spans="1:11" ht="38.25" x14ac:dyDescent="0.2">
      <c r="A394" s="11" t="s">
        <v>4332</v>
      </c>
      <c r="B394" s="14" t="s">
        <v>4365</v>
      </c>
      <c r="C394" s="6" t="s">
        <v>4322</v>
      </c>
      <c r="D394" s="6" t="s">
        <v>4333</v>
      </c>
      <c r="E394" s="6" t="s">
        <v>646</v>
      </c>
      <c r="F394" s="6" t="s">
        <v>1054</v>
      </c>
      <c r="G394" s="6" t="s">
        <v>4327</v>
      </c>
      <c r="H394" s="6" t="s">
        <v>2384</v>
      </c>
      <c r="I394" s="6">
        <v>2</v>
      </c>
      <c r="J394" s="6">
        <v>6</v>
      </c>
      <c r="K394" s="6">
        <v>0</v>
      </c>
    </row>
    <row r="395" spans="1:11" ht="89.25" x14ac:dyDescent="0.2">
      <c r="A395" s="8" t="s">
        <v>1565</v>
      </c>
      <c r="B395" s="6" t="s">
        <v>1700</v>
      </c>
      <c r="C395" s="6" t="s">
        <v>4028</v>
      </c>
      <c r="D395" s="6" t="s">
        <v>2266</v>
      </c>
      <c r="E395" s="6" t="s">
        <v>646</v>
      </c>
      <c r="F395" s="6" t="s">
        <v>1054</v>
      </c>
      <c r="G395" s="6" t="s">
        <v>2874</v>
      </c>
      <c r="H395" s="6" t="s">
        <v>2724</v>
      </c>
      <c r="I395" s="6">
        <v>2</v>
      </c>
      <c r="J395" s="6">
        <v>10</v>
      </c>
      <c r="K395" s="6">
        <v>0</v>
      </c>
    </row>
    <row r="396" spans="1:11" ht="89.25" x14ac:dyDescent="0.2">
      <c r="A396" s="11" t="s">
        <v>745</v>
      </c>
      <c r="B396" s="6" t="s">
        <v>953</v>
      </c>
      <c r="C396" s="6" t="s">
        <v>4028</v>
      </c>
      <c r="D396" s="6" t="s">
        <v>2265</v>
      </c>
      <c r="E396" s="6" t="s">
        <v>646</v>
      </c>
      <c r="F396" s="6" t="s">
        <v>1054</v>
      </c>
      <c r="G396" s="6" t="s">
        <v>2872</v>
      </c>
      <c r="H396" s="6" t="s">
        <v>2723</v>
      </c>
      <c r="I396" s="6">
        <v>2</v>
      </c>
      <c r="J396" s="6">
        <v>8</v>
      </c>
      <c r="K396" s="6">
        <v>0</v>
      </c>
    </row>
    <row r="397" spans="1:11" x14ac:dyDescent="0.2">
      <c r="A397" s="11" t="s">
        <v>3125</v>
      </c>
      <c r="B397" s="6" t="s">
        <v>3173</v>
      </c>
      <c r="C397" s="6" t="s">
        <v>4032</v>
      </c>
      <c r="D397" s="6" t="s">
        <v>3127</v>
      </c>
      <c r="E397" s="6" t="s">
        <v>646</v>
      </c>
      <c r="F397" s="6" t="s">
        <v>3126</v>
      </c>
      <c r="G397" s="6" t="s">
        <v>3115</v>
      </c>
      <c r="H397" s="6" t="s">
        <v>785</v>
      </c>
      <c r="I397" s="6">
        <v>2</v>
      </c>
      <c r="J397" s="6">
        <v>1</v>
      </c>
      <c r="K397" s="6">
        <v>0</v>
      </c>
    </row>
    <row r="398" spans="1:11" ht="165.75" x14ac:dyDescent="0.2">
      <c r="A398" s="7" t="s">
        <v>1823</v>
      </c>
      <c r="B398" s="6" t="s">
        <v>1887</v>
      </c>
      <c r="C398" s="13" t="s">
        <v>1915</v>
      </c>
      <c r="D398" s="6" t="s">
        <v>2500</v>
      </c>
      <c r="E398" s="6" t="s">
        <v>646</v>
      </c>
      <c r="F398" s="6" t="s">
        <v>587</v>
      </c>
      <c r="G398" s="6" t="s">
        <v>2687</v>
      </c>
      <c r="H398" s="6" t="s">
        <v>785</v>
      </c>
      <c r="I398" s="6">
        <v>2</v>
      </c>
      <c r="J398" s="6">
        <v>7</v>
      </c>
      <c r="K398" s="6">
        <v>0</v>
      </c>
    </row>
    <row r="399" spans="1:11" ht="25.5" x14ac:dyDescent="0.2">
      <c r="A399" s="6" t="s">
        <v>778</v>
      </c>
      <c r="B399" s="6" t="s">
        <v>992</v>
      </c>
      <c r="C399" s="6" t="s">
        <v>2901</v>
      </c>
      <c r="D399" s="6" t="s">
        <v>2000</v>
      </c>
      <c r="E399" s="6" t="s">
        <v>646</v>
      </c>
      <c r="F399" s="6" t="s">
        <v>779</v>
      </c>
      <c r="G399" s="6" t="s">
        <v>1999</v>
      </c>
      <c r="H399" s="6" t="s">
        <v>785</v>
      </c>
      <c r="I399" s="6">
        <v>2</v>
      </c>
      <c r="J399" s="6">
        <v>5</v>
      </c>
      <c r="K399" s="6">
        <v>0</v>
      </c>
    </row>
    <row r="400" spans="1:11" ht="38.25" x14ac:dyDescent="0.2">
      <c r="A400" s="11" t="s">
        <v>679</v>
      </c>
      <c r="B400" s="14" t="s">
        <v>1166</v>
      </c>
      <c r="C400" s="6" t="s">
        <v>1487</v>
      </c>
      <c r="D400" s="6" t="s">
        <v>2327</v>
      </c>
      <c r="E400" s="6" t="s">
        <v>646</v>
      </c>
      <c r="F400" s="6" t="s">
        <v>3839</v>
      </c>
      <c r="G400" s="6" t="s">
        <v>2326</v>
      </c>
      <c r="H400" s="6" t="s">
        <v>2754</v>
      </c>
      <c r="I400" s="6">
        <v>2</v>
      </c>
      <c r="J400" s="6">
        <v>4</v>
      </c>
      <c r="K400" s="6">
        <v>0</v>
      </c>
    </row>
    <row r="401" spans="1:11" ht="63.75" x14ac:dyDescent="0.2">
      <c r="A401" s="11" t="s">
        <v>662</v>
      </c>
      <c r="B401" s="6" t="s">
        <v>882</v>
      </c>
      <c r="C401" s="6" t="s">
        <v>2909</v>
      </c>
      <c r="D401" s="6" t="s">
        <v>2222</v>
      </c>
      <c r="E401" s="6" t="s">
        <v>646</v>
      </c>
      <c r="F401" s="6" t="s">
        <v>1553</v>
      </c>
      <c r="G401" s="6" t="s">
        <v>2644</v>
      </c>
      <c r="H401" s="6" t="s">
        <v>2701</v>
      </c>
      <c r="I401" s="6">
        <v>2</v>
      </c>
      <c r="J401" s="6">
        <v>44</v>
      </c>
      <c r="K401" s="6">
        <v>0</v>
      </c>
    </row>
    <row r="402" spans="1:11" ht="63.75" x14ac:dyDescent="0.2">
      <c r="A402" s="7" t="s">
        <v>661</v>
      </c>
      <c r="B402" s="6" t="s">
        <v>1687</v>
      </c>
      <c r="C402" s="6" t="s">
        <v>2909</v>
      </c>
      <c r="D402" s="6" t="s">
        <v>2221</v>
      </c>
      <c r="E402" s="6" t="s">
        <v>646</v>
      </c>
      <c r="F402" s="6" t="s">
        <v>1553</v>
      </c>
      <c r="G402" s="6" t="s">
        <v>2646</v>
      </c>
      <c r="H402" s="6" t="s">
        <v>2701</v>
      </c>
      <c r="I402" s="6">
        <v>2</v>
      </c>
      <c r="J402" s="6">
        <v>44</v>
      </c>
      <c r="K402" s="6">
        <v>0</v>
      </c>
    </row>
    <row r="403" spans="1:11" ht="25.5" x14ac:dyDescent="0.2">
      <c r="A403" s="11" t="s">
        <v>695</v>
      </c>
      <c r="B403" s="6" t="s">
        <v>909</v>
      </c>
      <c r="C403" s="6" t="s">
        <v>1205</v>
      </c>
      <c r="D403" s="6" t="s">
        <v>1992</v>
      </c>
      <c r="E403" s="6" t="s">
        <v>646</v>
      </c>
      <c r="F403" s="6" t="s">
        <v>693</v>
      </c>
      <c r="G403" s="6" t="s">
        <v>2550</v>
      </c>
      <c r="H403" s="6" t="s">
        <v>785</v>
      </c>
      <c r="I403" s="6">
        <v>2</v>
      </c>
      <c r="J403" s="6">
        <v>5</v>
      </c>
      <c r="K403" s="6">
        <v>0</v>
      </c>
    </row>
    <row r="404" spans="1:11" ht="25.5" x14ac:dyDescent="0.2">
      <c r="A404" s="12" t="s">
        <v>692</v>
      </c>
      <c r="B404" s="6" t="s">
        <v>908</v>
      </c>
      <c r="C404" s="6" t="s">
        <v>1205</v>
      </c>
      <c r="D404" s="6" t="s">
        <v>1991</v>
      </c>
      <c r="E404" s="6" t="s">
        <v>646</v>
      </c>
      <c r="F404" s="6" t="s">
        <v>693</v>
      </c>
      <c r="G404" s="6" t="s">
        <v>2550</v>
      </c>
      <c r="H404" s="6" t="s">
        <v>785</v>
      </c>
      <c r="I404" s="6">
        <v>2</v>
      </c>
      <c r="J404" s="6">
        <v>5</v>
      </c>
      <c r="K404" s="6">
        <v>0</v>
      </c>
    </row>
    <row r="405" spans="1:11" ht="102" x14ac:dyDescent="0.2">
      <c r="A405" s="11" t="s">
        <v>595</v>
      </c>
      <c r="B405" s="6" t="s">
        <v>826</v>
      </c>
      <c r="C405" s="6" t="s">
        <v>4319</v>
      </c>
      <c r="D405" s="6" t="s">
        <v>2449</v>
      </c>
      <c r="E405" s="6" t="s">
        <v>646</v>
      </c>
      <c r="F405" s="6" t="s">
        <v>596</v>
      </c>
      <c r="G405" s="6" t="s">
        <v>2697</v>
      </c>
      <c r="H405" s="6" t="s">
        <v>2811</v>
      </c>
      <c r="I405" s="6">
        <v>2</v>
      </c>
      <c r="J405" s="6">
        <v>12</v>
      </c>
      <c r="K405" s="6">
        <v>0</v>
      </c>
    </row>
    <row r="406" spans="1:11" ht="25.5" x14ac:dyDescent="0.2">
      <c r="A406" s="11" t="s">
        <v>4175</v>
      </c>
      <c r="B406" s="6" t="s">
        <v>4210</v>
      </c>
      <c r="C406" s="6" t="s">
        <v>4208</v>
      </c>
      <c r="D406" s="6" t="s">
        <v>4177</v>
      </c>
      <c r="E406" s="6" t="s">
        <v>646</v>
      </c>
      <c r="F406" s="6" t="s">
        <v>4176</v>
      </c>
      <c r="G406" s="6" t="s">
        <v>4201</v>
      </c>
      <c r="H406" s="6" t="s">
        <v>785</v>
      </c>
      <c r="I406" s="6">
        <v>2</v>
      </c>
      <c r="J406" s="6">
        <v>2</v>
      </c>
      <c r="K406" s="6">
        <v>0</v>
      </c>
    </row>
    <row r="407" spans="1:11" x14ac:dyDescent="0.2">
      <c r="A407" s="12" t="s">
        <v>764</v>
      </c>
      <c r="B407" s="6" t="s">
        <v>973</v>
      </c>
      <c r="C407" s="6" t="s">
        <v>4018</v>
      </c>
      <c r="D407" s="6" t="s">
        <v>1996</v>
      </c>
      <c r="E407" s="6" t="s">
        <v>646</v>
      </c>
      <c r="F407" s="6" t="s">
        <v>550</v>
      </c>
      <c r="G407" s="6" t="s">
        <v>2160</v>
      </c>
      <c r="H407" s="6" t="s">
        <v>785</v>
      </c>
      <c r="I407" s="6">
        <v>2</v>
      </c>
      <c r="J407" s="6">
        <v>3</v>
      </c>
      <c r="K407" s="6">
        <v>0</v>
      </c>
    </row>
    <row r="408" spans="1:11" ht="25.5" x14ac:dyDescent="0.2">
      <c r="A408" s="11" t="s">
        <v>4390</v>
      </c>
      <c r="B408" s="6" t="s">
        <v>4405</v>
      </c>
      <c r="C408" s="6" t="s">
        <v>4379</v>
      </c>
      <c r="D408" s="6" t="s">
        <v>4391</v>
      </c>
      <c r="E408" s="6" t="s">
        <v>646</v>
      </c>
      <c r="F408" s="6" t="s">
        <v>550</v>
      </c>
      <c r="G408" s="6" t="s">
        <v>4402</v>
      </c>
      <c r="H408" s="6" t="s">
        <v>785</v>
      </c>
      <c r="I408" s="6">
        <v>2</v>
      </c>
      <c r="J408" s="6">
        <v>9</v>
      </c>
      <c r="K408" s="6">
        <v>0</v>
      </c>
    </row>
    <row r="409" spans="1:11" ht="63.75" x14ac:dyDescent="0.2">
      <c r="A409" s="11" t="s">
        <v>1084</v>
      </c>
      <c r="B409" s="13" t="s">
        <v>862</v>
      </c>
      <c r="C409" s="6" t="s">
        <v>1173</v>
      </c>
      <c r="D409" s="6" t="s">
        <v>1985</v>
      </c>
      <c r="E409" s="6" t="s">
        <v>646</v>
      </c>
      <c r="F409" s="6" t="s">
        <v>550</v>
      </c>
      <c r="G409" s="6" t="s">
        <v>2173</v>
      </c>
      <c r="H409" s="6" t="s">
        <v>2549</v>
      </c>
      <c r="I409" s="6">
        <v>2</v>
      </c>
      <c r="J409" s="6">
        <v>10</v>
      </c>
      <c r="K409" s="6">
        <v>0</v>
      </c>
    </row>
    <row r="410" spans="1:11" ht="89.25" x14ac:dyDescent="0.2">
      <c r="A410" s="12" t="s">
        <v>2923</v>
      </c>
      <c r="B410" s="6" t="s">
        <v>2957</v>
      </c>
      <c r="C410" s="6" t="s">
        <v>2982</v>
      </c>
      <c r="D410" s="6" t="s">
        <v>2924</v>
      </c>
      <c r="E410" s="6" t="s">
        <v>646</v>
      </c>
      <c r="F410" s="6" t="s">
        <v>550</v>
      </c>
      <c r="G410" s="6" t="s">
        <v>2918</v>
      </c>
      <c r="H410" s="6" t="s">
        <v>2959</v>
      </c>
      <c r="I410" s="6">
        <v>2</v>
      </c>
      <c r="J410" s="6">
        <v>32</v>
      </c>
      <c r="K410" s="6">
        <v>0</v>
      </c>
    </row>
    <row r="411" spans="1:11" ht="38.25" x14ac:dyDescent="0.2">
      <c r="A411" s="12" t="s">
        <v>2883</v>
      </c>
      <c r="B411" s="6" t="s">
        <v>2908</v>
      </c>
      <c r="C411" s="6" t="s">
        <v>4379</v>
      </c>
      <c r="D411" s="6" t="s">
        <v>2885</v>
      </c>
      <c r="E411" s="6" t="s">
        <v>646</v>
      </c>
      <c r="F411" s="6" t="s">
        <v>2884</v>
      </c>
      <c r="G411" s="6" t="s">
        <v>4115</v>
      </c>
      <c r="H411" s="6" t="s">
        <v>2890</v>
      </c>
      <c r="I411" s="6">
        <v>2</v>
      </c>
      <c r="J411" s="6">
        <v>12</v>
      </c>
      <c r="K411" s="6">
        <v>0</v>
      </c>
    </row>
    <row r="412" spans="1:11" ht="204" x14ac:dyDescent="0.2">
      <c r="A412" s="11" t="s">
        <v>3876</v>
      </c>
      <c r="B412" s="6" t="s">
        <v>3932</v>
      </c>
      <c r="C412" s="6" t="s">
        <v>4324</v>
      </c>
      <c r="D412" s="6" t="s">
        <v>3877</v>
      </c>
      <c r="E412" s="6" t="s">
        <v>646</v>
      </c>
      <c r="F412" s="6" t="s">
        <v>550</v>
      </c>
      <c r="G412" s="6" t="s">
        <v>3843</v>
      </c>
      <c r="H412" s="6" t="s">
        <v>4021</v>
      </c>
      <c r="I412" s="6">
        <v>2</v>
      </c>
      <c r="J412" s="6">
        <v>56</v>
      </c>
      <c r="K412" s="6">
        <v>0</v>
      </c>
    </row>
    <row r="413" spans="1:11" ht="178.5" x14ac:dyDescent="0.2">
      <c r="A413" s="7" t="s">
        <v>578</v>
      </c>
      <c r="B413" s="6" t="s">
        <v>812</v>
      </c>
      <c r="C413" s="6" t="s">
        <v>4030</v>
      </c>
      <c r="D413" s="6" t="s">
        <v>2325</v>
      </c>
      <c r="E413" s="6" t="s">
        <v>646</v>
      </c>
      <c r="F413" s="6" t="s">
        <v>1073</v>
      </c>
      <c r="G413" s="6" t="s">
        <v>2571</v>
      </c>
      <c r="H413" s="6" t="s">
        <v>2753</v>
      </c>
      <c r="I413" s="6">
        <v>2</v>
      </c>
      <c r="J413" s="6">
        <v>42</v>
      </c>
      <c r="K413" s="6">
        <v>0</v>
      </c>
    </row>
    <row r="414" spans="1:11" ht="153" x14ac:dyDescent="0.2">
      <c r="A414" s="11" t="s">
        <v>1770</v>
      </c>
      <c r="B414" s="13" t="s">
        <v>1843</v>
      </c>
      <c r="C414" s="6" t="s">
        <v>4380</v>
      </c>
      <c r="D414" s="6" t="s">
        <v>2423</v>
      </c>
      <c r="E414" s="6" t="s">
        <v>646</v>
      </c>
      <c r="F414" s="6" t="s">
        <v>550</v>
      </c>
      <c r="G414" s="6" t="s">
        <v>2688</v>
      </c>
      <c r="H414" s="6" t="s">
        <v>2784</v>
      </c>
      <c r="I414" s="6">
        <v>2</v>
      </c>
      <c r="J414" s="6">
        <v>8</v>
      </c>
      <c r="K414" s="6">
        <v>0</v>
      </c>
    </row>
    <row r="415" spans="1:11" ht="38.25" x14ac:dyDescent="0.2">
      <c r="A415" s="6" t="s">
        <v>1775</v>
      </c>
      <c r="B415" s="6" t="s">
        <v>1847</v>
      </c>
      <c r="C415" s="6" t="s">
        <v>4380</v>
      </c>
      <c r="D415" s="6" t="s">
        <v>2427</v>
      </c>
      <c r="E415" s="6" t="s">
        <v>646</v>
      </c>
      <c r="F415" s="6" t="s">
        <v>550</v>
      </c>
      <c r="G415" s="6" t="s">
        <v>2592</v>
      </c>
      <c r="H415" s="6" t="s">
        <v>2789</v>
      </c>
      <c r="I415" s="6">
        <v>2</v>
      </c>
      <c r="J415" s="6">
        <v>9</v>
      </c>
      <c r="K415" s="6">
        <v>0</v>
      </c>
    </row>
    <row r="416" spans="1:11" ht="51" x14ac:dyDescent="0.2">
      <c r="A416" s="11" t="s">
        <v>565</v>
      </c>
      <c r="B416" s="6" t="s">
        <v>798</v>
      </c>
      <c r="C416" s="6" t="s">
        <v>4169</v>
      </c>
      <c r="D416" s="6" t="s">
        <v>2003</v>
      </c>
      <c r="E416" s="6" t="s">
        <v>646</v>
      </c>
      <c r="F416" s="6" t="s">
        <v>550</v>
      </c>
      <c r="G416" s="6" t="s">
        <v>2089</v>
      </c>
      <c r="H416" s="6" t="s">
        <v>2551</v>
      </c>
      <c r="I416" s="6">
        <v>2</v>
      </c>
      <c r="J416" s="6">
        <v>46</v>
      </c>
      <c r="K416" s="6">
        <v>0</v>
      </c>
    </row>
    <row r="417" spans="1:11" ht="25.5" x14ac:dyDescent="0.2">
      <c r="A417" s="11" t="s">
        <v>3868</v>
      </c>
      <c r="B417" s="6" t="s">
        <v>3928</v>
      </c>
      <c r="C417" s="6" t="s">
        <v>4324</v>
      </c>
      <c r="D417" s="6" t="s">
        <v>3869</v>
      </c>
      <c r="E417" s="6" t="s">
        <v>646</v>
      </c>
      <c r="F417" s="6" t="s">
        <v>550</v>
      </c>
      <c r="G417" s="6" t="s">
        <v>3845</v>
      </c>
      <c r="H417" s="6" t="s">
        <v>2295</v>
      </c>
      <c r="I417" s="6">
        <v>2</v>
      </c>
      <c r="J417" s="6">
        <v>10</v>
      </c>
      <c r="K417" s="6">
        <v>0</v>
      </c>
    </row>
    <row r="418" spans="1:11" ht="38.25" x14ac:dyDescent="0.2">
      <c r="A418" s="8" t="s">
        <v>3119</v>
      </c>
      <c r="B418" s="6" t="s">
        <v>3150</v>
      </c>
      <c r="C418" s="6" t="s">
        <v>3110</v>
      </c>
      <c r="D418" s="6" t="s">
        <v>3121</v>
      </c>
      <c r="E418" s="6" t="s">
        <v>553</v>
      </c>
      <c r="F418" s="6" t="s">
        <v>3120</v>
      </c>
      <c r="G418" s="6" t="s">
        <v>3115</v>
      </c>
      <c r="H418" s="6" t="s">
        <v>785</v>
      </c>
      <c r="I418" s="6">
        <v>2</v>
      </c>
      <c r="J418" s="6">
        <v>10</v>
      </c>
      <c r="K418" s="6">
        <v>0</v>
      </c>
    </row>
    <row r="419" spans="1:11" ht="25.5" x14ac:dyDescent="0.2">
      <c r="A419" s="11" t="s">
        <v>4388</v>
      </c>
      <c r="B419" s="6" t="s">
        <v>4404</v>
      </c>
      <c r="C419" s="6" t="s">
        <v>4379</v>
      </c>
      <c r="D419" s="6" t="s">
        <v>4389</v>
      </c>
      <c r="E419" s="6" t="s">
        <v>646</v>
      </c>
      <c r="F419" s="6" t="s">
        <v>550</v>
      </c>
      <c r="G419" s="6" t="s">
        <v>4396</v>
      </c>
      <c r="H419" s="6" t="s">
        <v>2295</v>
      </c>
      <c r="I419" s="6">
        <v>2</v>
      </c>
      <c r="J419" s="6">
        <v>16</v>
      </c>
      <c r="K419" s="6">
        <v>0</v>
      </c>
    </row>
    <row r="420" spans="1:11" ht="76.5" x14ac:dyDescent="0.2">
      <c r="A420" s="11" t="s">
        <v>637</v>
      </c>
      <c r="B420" s="6" t="s">
        <v>854</v>
      </c>
      <c r="C420" s="13" t="s">
        <v>1739</v>
      </c>
      <c r="D420" s="6" t="s">
        <v>2025</v>
      </c>
      <c r="E420" s="6" t="s">
        <v>646</v>
      </c>
      <c r="F420" s="6" t="s">
        <v>550</v>
      </c>
      <c r="G420" s="6" t="s">
        <v>2192</v>
      </c>
      <c r="H420" s="14" t="s">
        <v>2563</v>
      </c>
      <c r="I420" s="6">
        <v>2</v>
      </c>
      <c r="J420" s="6">
        <v>33</v>
      </c>
      <c r="K420" s="6">
        <v>0</v>
      </c>
    </row>
    <row r="421" spans="1:11" ht="25.5" x14ac:dyDescent="0.2">
      <c r="A421" s="6" t="s">
        <v>642</v>
      </c>
      <c r="B421" s="6" t="s">
        <v>859</v>
      </c>
      <c r="C421" s="6" t="s">
        <v>1739</v>
      </c>
      <c r="D421" s="6" t="s">
        <v>2031</v>
      </c>
      <c r="E421" s="6" t="s">
        <v>646</v>
      </c>
      <c r="F421" s="6" t="s">
        <v>550</v>
      </c>
      <c r="G421" s="6" t="s">
        <v>2197</v>
      </c>
      <c r="H421" s="6" t="s">
        <v>2566</v>
      </c>
      <c r="I421" s="6">
        <v>2</v>
      </c>
      <c r="J421" s="6">
        <v>14</v>
      </c>
      <c r="K421" s="6">
        <v>0</v>
      </c>
    </row>
    <row r="422" spans="1:11" ht="242.25" x14ac:dyDescent="0.2">
      <c r="A422" s="6" t="s">
        <v>1819</v>
      </c>
      <c r="B422" s="6" t="s">
        <v>1884</v>
      </c>
      <c r="C422" s="6" t="s">
        <v>1915</v>
      </c>
      <c r="D422" s="6" t="s">
        <v>2497</v>
      </c>
      <c r="E422" s="6" t="s">
        <v>646</v>
      </c>
      <c r="F422" s="6" t="s">
        <v>1921</v>
      </c>
      <c r="G422" s="6" t="s">
        <v>2685</v>
      </c>
      <c r="H422" s="6" t="s">
        <v>2384</v>
      </c>
      <c r="I422" s="6">
        <v>2</v>
      </c>
      <c r="J422" s="6">
        <v>7</v>
      </c>
      <c r="K422" s="6">
        <v>0</v>
      </c>
    </row>
    <row r="423" spans="1:11" ht="280.5" x14ac:dyDescent="0.2">
      <c r="A423" s="11" t="s">
        <v>3890</v>
      </c>
      <c r="B423" s="6" t="s">
        <v>3939</v>
      </c>
      <c r="C423" s="6" t="s">
        <v>4324</v>
      </c>
      <c r="D423" s="6" t="s">
        <v>3891</v>
      </c>
      <c r="E423" s="6" t="s">
        <v>646</v>
      </c>
      <c r="F423" s="6" t="s">
        <v>550</v>
      </c>
      <c r="G423" s="6" t="s">
        <v>3847</v>
      </c>
      <c r="H423" s="6" t="s">
        <v>4354</v>
      </c>
      <c r="I423" s="6">
        <v>2</v>
      </c>
      <c r="J423" s="6">
        <v>70</v>
      </c>
      <c r="K423" s="6">
        <v>0</v>
      </c>
    </row>
    <row r="424" spans="1:11" ht="51" x14ac:dyDescent="0.2">
      <c r="A424" s="8" t="s">
        <v>632</v>
      </c>
      <c r="B424" s="6" t="s">
        <v>830</v>
      </c>
      <c r="C424" s="13" t="s">
        <v>1739</v>
      </c>
      <c r="D424" s="6" t="s">
        <v>2020</v>
      </c>
      <c r="E424" s="6" t="s">
        <v>646</v>
      </c>
      <c r="F424" s="6" t="s">
        <v>3838</v>
      </c>
      <c r="G424" s="6" t="s">
        <v>2019</v>
      </c>
      <c r="H424" s="6" t="s">
        <v>785</v>
      </c>
      <c r="I424" s="6">
        <v>2</v>
      </c>
      <c r="J424" s="6">
        <v>89</v>
      </c>
      <c r="K424" s="6">
        <v>0</v>
      </c>
    </row>
    <row r="425" spans="1:11" ht="38.25" x14ac:dyDescent="0.2">
      <c r="A425" s="12" t="s">
        <v>4036</v>
      </c>
      <c r="B425" s="6" t="s">
        <v>4136</v>
      </c>
      <c r="C425" s="6" t="s">
        <v>4027</v>
      </c>
      <c r="D425" s="6" t="s">
        <v>4037</v>
      </c>
      <c r="E425" s="6" t="s">
        <v>646</v>
      </c>
      <c r="F425" s="6" t="s">
        <v>550</v>
      </c>
      <c r="G425" s="6" t="s">
        <v>4049</v>
      </c>
      <c r="H425" s="6" t="s">
        <v>4092</v>
      </c>
      <c r="I425" s="6">
        <v>2</v>
      </c>
      <c r="J425" s="6">
        <v>15</v>
      </c>
      <c r="K425" s="6">
        <v>0</v>
      </c>
    </row>
    <row r="426" spans="1:11" x14ac:dyDescent="0.2">
      <c r="A426" s="8" t="s">
        <v>4084</v>
      </c>
      <c r="B426" s="6" t="s">
        <v>4120</v>
      </c>
      <c r="C426" s="6" t="s">
        <v>4387</v>
      </c>
      <c r="D426" s="6" t="s">
        <v>4085</v>
      </c>
      <c r="E426" s="6" t="s">
        <v>646</v>
      </c>
      <c r="F426" s="6" t="s">
        <v>550</v>
      </c>
      <c r="G426" s="6" t="s">
        <v>2505</v>
      </c>
      <c r="H426" s="6" t="s">
        <v>785</v>
      </c>
      <c r="I426" s="6">
        <v>3</v>
      </c>
      <c r="J426" s="6">
        <v>14</v>
      </c>
      <c r="K426" s="6">
        <v>0</v>
      </c>
    </row>
    <row r="427" spans="1:11" ht="51" x14ac:dyDescent="0.2">
      <c r="A427" s="9" t="s">
        <v>4066</v>
      </c>
      <c r="B427" s="6" t="s">
        <v>4112</v>
      </c>
      <c r="C427" s="6" t="s">
        <v>4387</v>
      </c>
      <c r="D427" s="6" t="s">
        <v>4068</v>
      </c>
      <c r="E427" s="6" t="s">
        <v>646</v>
      </c>
      <c r="F427" s="6" t="s">
        <v>4067</v>
      </c>
      <c r="G427" s="6" t="s">
        <v>4062</v>
      </c>
      <c r="H427" s="6" t="s">
        <v>785</v>
      </c>
      <c r="I427" s="6">
        <v>3</v>
      </c>
      <c r="J427" s="6">
        <v>14</v>
      </c>
      <c r="K427" s="6">
        <v>0</v>
      </c>
    </row>
    <row r="428" spans="1:11" ht="51" x14ac:dyDescent="0.2">
      <c r="A428" s="12" t="s">
        <v>4063</v>
      </c>
      <c r="B428" s="6" t="s">
        <v>4111</v>
      </c>
      <c r="C428" s="6" t="s">
        <v>4387</v>
      </c>
      <c r="D428" s="6" t="s">
        <v>4065</v>
      </c>
      <c r="E428" s="6" t="s">
        <v>646</v>
      </c>
      <c r="F428" s="6" t="s">
        <v>4064</v>
      </c>
      <c r="G428" s="6" t="s">
        <v>4062</v>
      </c>
      <c r="H428" s="6" t="s">
        <v>785</v>
      </c>
      <c r="I428" s="6">
        <v>3</v>
      </c>
      <c r="J428" s="6">
        <v>14</v>
      </c>
      <c r="K428" s="6">
        <v>0</v>
      </c>
    </row>
    <row r="429" spans="1:11" ht="76.5" x14ac:dyDescent="0.2">
      <c r="A429" s="11" t="s">
        <v>1146</v>
      </c>
      <c r="B429" s="250" t="s">
        <v>988</v>
      </c>
      <c r="C429" s="6" t="s">
        <v>4032</v>
      </c>
      <c r="D429" s="6" t="s">
        <v>2383</v>
      </c>
      <c r="E429" s="6" t="s">
        <v>646</v>
      </c>
      <c r="F429" s="6" t="s">
        <v>1147</v>
      </c>
      <c r="G429" s="6" t="s">
        <v>2654</v>
      </c>
      <c r="H429" s="6" t="s">
        <v>785</v>
      </c>
      <c r="I429" s="6">
        <v>3</v>
      </c>
      <c r="J429" s="6">
        <v>17</v>
      </c>
      <c r="K429" s="6">
        <v>0</v>
      </c>
    </row>
    <row r="430" spans="1:11" ht="38.25" x14ac:dyDescent="0.2">
      <c r="A430" s="11" t="s">
        <v>3907</v>
      </c>
      <c r="B430" s="6" t="s">
        <v>3953</v>
      </c>
      <c r="C430" s="6" t="s">
        <v>4324</v>
      </c>
      <c r="D430" s="6" t="s">
        <v>3908</v>
      </c>
      <c r="E430" s="6" t="s">
        <v>646</v>
      </c>
      <c r="F430" s="6" t="s">
        <v>3898</v>
      </c>
      <c r="G430" s="6" t="s">
        <v>3891</v>
      </c>
      <c r="H430" s="6" t="s">
        <v>3998</v>
      </c>
      <c r="I430" s="6">
        <v>3</v>
      </c>
      <c r="J430" s="6">
        <v>37</v>
      </c>
      <c r="K430" s="6">
        <v>0</v>
      </c>
    </row>
    <row r="431" spans="1:11" ht="38.25" x14ac:dyDescent="0.2">
      <c r="A431" s="11" t="s">
        <v>3006</v>
      </c>
      <c r="B431" s="6" t="s">
        <v>3170</v>
      </c>
      <c r="C431" s="6" t="s">
        <v>3160</v>
      </c>
      <c r="D431" s="6" t="s">
        <v>3008</v>
      </c>
      <c r="E431" s="6" t="s">
        <v>646</v>
      </c>
      <c r="F431" s="6" t="s">
        <v>3007</v>
      </c>
      <c r="G431" s="6" t="s">
        <v>4022</v>
      </c>
      <c r="H431" s="6" t="s">
        <v>1988</v>
      </c>
      <c r="I431" s="6">
        <v>3</v>
      </c>
      <c r="J431" s="6">
        <v>7</v>
      </c>
      <c r="K431" s="6">
        <v>0</v>
      </c>
    </row>
    <row r="432" spans="1:11" ht="114.75" x14ac:dyDescent="0.2">
      <c r="A432" s="6" t="s">
        <v>641</v>
      </c>
      <c r="B432" s="6" t="s">
        <v>1193</v>
      </c>
      <c r="C432" s="6" t="s">
        <v>1739</v>
      </c>
      <c r="D432" s="6" t="s">
        <v>2030</v>
      </c>
      <c r="E432" s="6" t="s">
        <v>646</v>
      </c>
      <c r="F432" s="6" t="s">
        <v>1082</v>
      </c>
      <c r="G432" s="6" t="s">
        <v>2797</v>
      </c>
      <c r="H432" s="6" t="s">
        <v>2929</v>
      </c>
      <c r="I432" s="6">
        <v>3</v>
      </c>
      <c r="J432" s="6">
        <v>33</v>
      </c>
      <c r="K432" s="6">
        <v>0</v>
      </c>
    </row>
    <row r="433" spans="1:11" ht="63.75" x14ac:dyDescent="0.2">
      <c r="A433" s="12" t="s">
        <v>683</v>
      </c>
      <c r="B433" s="6" t="s">
        <v>902</v>
      </c>
      <c r="C433" s="6" t="s">
        <v>1487</v>
      </c>
      <c r="D433" s="6" t="s">
        <v>2331</v>
      </c>
      <c r="E433" s="6" t="s">
        <v>646</v>
      </c>
      <c r="F433" s="6" t="s">
        <v>3840</v>
      </c>
      <c r="G433" s="6" t="s">
        <v>2327</v>
      </c>
      <c r="H433" s="6" t="s">
        <v>2757</v>
      </c>
      <c r="I433" s="6">
        <v>3</v>
      </c>
      <c r="J433" s="6">
        <v>56</v>
      </c>
      <c r="K433" s="6">
        <v>0</v>
      </c>
    </row>
    <row r="434" spans="1:11" ht="102" x14ac:dyDescent="0.2">
      <c r="A434" s="11" t="s">
        <v>1772</v>
      </c>
      <c r="B434" s="6" t="s">
        <v>1845</v>
      </c>
      <c r="C434" s="6" t="s">
        <v>4380</v>
      </c>
      <c r="D434" s="6" t="s">
        <v>2425</v>
      </c>
      <c r="E434" s="6" t="s">
        <v>646</v>
      </c>
      <c r="F434" s="6" t="s">
        <v>1773</v>
      </c>
      <c r="G434" s="6" t="s">
        <v>2743</v>
      </c>
      <c r="H434" s="6" t="s">
        <v>2787</v>
      </c>
      <c r="I434" s="6">
        <v>3</v>
      </c>
      <c r="J434" s="6">
        <v>66</v>
      </c>
      <c r="K434" s="6">
        <v>0</v>
      </c>
    </row>
    <row r="435" spans="1:11" ht="51" x14ac:dyDescent="0.2">
      <c r="A435" s="7" t="s">
        <v>1788</v>
      </c>
      <c r="B435" s="6" t="s">
        <v>1857</v>
      </c>
      <c r="C435" s="6" t="s">
        <v>4319</v>
      </c>
      <c r="D435" s="6" t="s">
        <v>2439</v>
      </c>
      <c r="E435" s="6" t="s">
        <v>646</v>
      </c>
      <c r="F435" s="6" t="s">
        <v>591</v>
      </c>
      <c r="G435" s="6" t="s">
        <v>2796</v>
      </c>
      <c r="H435" s="6" t="s">
        <v>2794</v>
      </c>
      <c r="I435" s="6">
        <v>3</v>
      </c>
      <c r="J435" s="6">
        <v>8</v>
      </c>
      <c r="K435" s="6">
        <v>0</v>
      </c>
    </row>
    <row r="436" spans="1:11" ht="38.25" x14ac:dyDescent="0.2">
      <c r="A436" s="11" t="s">
        <v>754</v>
      </c>
      <c r="B436" s="6" t="s">
        <v>966</v>
      </c>
      <c r="C436" s="6" t="s">
        <v>4028</v>
      </c>
      <c r="D436" s="6" t="s">
        <v>2282</v>
      </c>
      <c r="E436" s="6" t="s">
        <v>646</v>
      </c>
      <c r="F436" s="6" t="s">
        <v>550</v>
      </c>
      <c r="G436" s="6" t="s">
        <v>2931</v>
      </c>
      <c r="H436" s="6" t="s">
        <v>2733</v>
      </c>
      <c r="I436" s="6">
        <v>3</v>
      </c>
      <c r="J436" s="6">
        <v>14</v>
      </c>
      <c r="K436" s="6">
        <v>0</v>
      </c>
    </row>
    <row r="437" spans="1:11" ht="89.25" x14ac:dyDescent="0.2">
      <c r="A437" s="11" t="s">
        <v>1125</v>
      </c>
      <c r="B437" s="6" t="s">
        <v>960</v>
      </c>
      <c r="C437" s="6" t="s">
        <v>4028</v>
      </c>
      <c r="D437" s="6" t="s">
        <v>2274</v>
      </c>
      <c r="E437" s="6" t="s">
        <v>646</v>
      </c>
      <c r="F437" s="6" t="s">
        <v>550</v>
      </c>
      <c r="G437" s="6" t="s">
        <v>3996</v>
      </c>
      <c r="H437" s="6" t="s">
        <v>2727</v>
      </c>
      <c r="I437" s="6">
        <v>3</v>
      </c>
      <c r="J437" s="6">
        <v>7</v>
      </c>
      <c r="K437" s="6">
        <v>0</v>
      </c>
    </row>
    <row r="438" spans="1:11" ht="38.25" x14ac:dyDescent="0.2">
      <c r="A438" s="6" t="s">
        <v>752</v>
      </c>
      <c r="B438" s="6" t="s">
        <v>964</v>
      </c>
      <c r="C438" s="6" t="s">
        <v>4028</v>
      </c>
      <c r="D438" s="6" t="s">
        <v>2280</v>
      </c>
      <c r="E438" s="6" t="s">
        <v>646</v>
      </c>
      <c r="F438" s="6" t="s">
        <v>550</v>
      </c>
      <c r="G438" s="6" t="s">
        <v>2943</v>
      </c>
      <c r="H438" s="6" t="s">
        <v>785</v>
      </c>
      <c r="I438" s="6">
        <v>3</v>
      </c>
      <c r="J438" s="6">
        <v>41</v>
      </c>
      <c r="K438" s="6">
        <v>0</v>
      </c>
    </row>
    <row r="439" spans="1:11" ht="76.5" x14ac:dyDescent="0.2">
      <c r="A439" s="8" t="s">
        <v>4337</v>
      </c>
      <c r="B439" s="14" t="s">
        <v>4005</v>
      </c>
      <c r="C439" s="13" t="s">
        <v>4324</v>
      </c>
      <c r="D439" s="6" t="s">
        <v>4338</v>
      </c>
      <c r="E439" s="6" t="s">
        <v>646</v>
      </c>
      <c r="F439" s="6" t="s">
        <v>550</v>
      </c>
      <c r="G439" s="6" t="s">
        <v>4350</v>
      </c>
      <c r="H439" s="6" t="s">
        <v>4341</v>
      </c>
      <c r="I439" s="6">
        <v>3</v>
      </c>
      <c r="J439" s="6">
        <v>13</v>
      </c>
      <c r="K439" s="6">
        <v>0</v>
      </c>
    </row>
    <row r="440" spans="1:11" ht="25.5" x14ac:dyDescent="0.2">
      <c r="A440" s="12" t="s">
        <v>2914</v>
      </c>
      <c r="B440" s="6" t="s">
        <v>3001</v>
      </c>
      <c r="C440" s="6" t="s">
        <v>4379</v>
      </c>
      <c r="D440" s="6" t="s">
        <v>2915</v>
      </c>
      <c r="E440" s="6" t="s">
        <v>646</v>
      </c>
      <c r="F440" s="6" t="s">
        <v>688</v>
      </c>
      <c r="G440" s="6" t="s">
        <v>2924</v>
      </c>
      <c r="H440" s="6" t="s">
        <v>785</v>
      </c>
      <c r="I440" s="6">
        <v>3</v>
      </c>
      <c r="J440" s="6">
        <v>44</v>
      </c>
      <c r="K440" s="6">
        <v>0</v>
      </c>
    </row>
    <row r="441" spans="1:11" x14ac:dyDescent="0.2">
      <c r="A441" s="11" t="s">
        <v>681</v>
      </c>
      <c r="B441" s="6" t="s">
        <v>901</v>
      </c>
      <c r="C441" s="6" t="s">
        <v>1487</v>
      </c>
      <c r="D441" s="6" t="s">
        <v>2329</v>
      </c>
      <c r="E441" s="6" t="s">
        <v>646</v>
      </c>
      <c r="F441" s="6" t="s">
        <v>550</v>
      </c>
      <c r="G441" s="6" t="s">
        <v>2505</v>
      </c>
      <c r="H441" s="6" t="s">
        <v>785</v>
      </c>
      <c r="I441" s="6">
        <v>3</v>
      </c>
      <c r="J441" s="6">
        <v>7</v>
      </c>
      <c r="K441" s="6">
        <v>0</v>
      </c>
    </row>
    <row r="442" spans="1:11" ht="38.25" x14ac:dyDescent="0.2">
      <c r="A442" s="8" t="s">
        <v>750</v>
      </c>
      <c r="B442" s="13" t="s">
        <v>962</v>
      </c>
      <c r="C442" s="6" t="s">
        <v>4028</v>
      </c>
      <c r="D442" s="6" t="s">
        <v>2278</v>
      </c>
      <c r="E442" s="6" t="s">
        <v>646</v>
      </c>
      <c r="F442" s="6" t="s">
        <v>550</v>
      </c>
      <c r="G442" s="6" t="s">
        <v>2505</v>
      </c>
      <c r="H442" s="6" t="s">
        <v>2294</v>
      </c>
      <c r="I442" s="6">
        <v>3</v>
      </c>
      <c r="J442" s="6">
        <v>15</v>
      </c>
      <c r="K442" s="6">
        <v>0</v>
      </c>
    </row>
    <row r="443" spans="1:11" ht="25.5" x14ac:dyDescent="0.2">
      <c r="A443" s="11" t="s">
        <v>1104</v>
      </c>
      <c r="B443" s="6" t="s">
        <v>1167</v>
      </c>
      <c r="C443" s="6" t="s">
        <v>4379</v>
      </c>
      <c r="D443" s="6" t="s">
        <v>2338</v>
      </c>
      <c r="E443" s="6" t="s">
        <v>646</v>
      </c>
      <c r="F443" s="6" t="s">
        <v>1105</v>
      </c>
      <c r="G443" s="6" t="s">
        <v>3987</v>
      </c>
      <c r="H443" s="6" t="s">
        <v>785</v>
      </c>
      <c r="I443" s="6">
        <v>3</v>
      </c>
      <c r="J443" s="6">
        <v>5</v>
      </c>
      <c r="K443" s="6">
        <v>0</v>
      </c>
    </row>
    <row r="444" spans="1:11" ht="51" x14ac:dyDescent="0.2">
      <c r="A444" s="12" t="s">
        <v>1566</v>
      </c>
      <c r="B444" s="6" t="s">
        <v>1702</v>
      </c>
      <c r="C444" s="6" t="s">
        <v>4028</v>
      </c>
      <c r="D444" s="6" t="s">
        <v>2275</v>
      </c>
      <c r="E444" s="6" t="s">
        <v>646</v>
      </c>
      <c r="F444" s="6" t="s">
        <v>1567</v>
      </c>
      <c r="G444" s="6" t="s">
        <v>2937</v>
      </c>
      <c r="H444" s="6" t="s">
        <v>2728</v>
      </c>
      <c r="I444" s="6">
        <v>3</v>
      </c>
      <c r="J444" s="6">
        <v>17</v>
      </c>
      <c r="K444" s="6">
        <v>0</v>
      </c>
    </row>
    <row r="445" spans="1:11" ht="51" x14ac:dyDescent="0.2">
      <c r="A445" s="11" t="s">
        <v>762</v>
      </c>
      <c r="B445" s="6" t="s">
        <v>3190</v>
      </c>
      <c r="C445" s="6" t="s">
        <v>4018</v>
      </c>
      <c r="D445" s="6" t="s">
        <v>1994</v>
      </c>
      <c r="E445" s="6" t="s">
        <v>646</v>
      </c>
      <c r="F445" s="6" t="s">
        <v>550</v>
      </c>
      <c r="G445" s="6" t="s">
        <v>3989</v>
      </c>
      <c r="H445" s="6" t="s">
        <v>3191</v>
      </c>
      <c r="I445" s="6">
        <v>3</v>
      </c>
      <c r="J445" s="6">
        <v>16</v>
      </c>
      <c r="K445" s="6">
        <v>0</v>
      </c>
    </row>
    <row r="446" spans="1:11" ht="25.5" x14ac:dyDescent="0.2">
      <c r="A446" s="12" t="s">
        <v>677</v>
      </c>
      <c r="B446" s="6" t="s">
        <v>899</v>
      </c>
      <c r="C446" s="6" t="s">
        <v>4322</v>
      </c>
      <c r="D446" s="6" t="s">
        <v>2248</v>
      </c>
      <c r="E446" s="6" t="s">
        <v>646</v>
      </c>
      <c r="F446" s="6" t="s">
        <v>550</v>
      </c>
      <c r="G446" s="6" t="s">
        <v>2936</v>
      </c>
      <c r="H446" s="6" t="s">
        <v>2715</v>
      </c>
      <c r="I446" s="6">
        <v>3</v>
      </c>
      <c r="J446" s="6">
        <v>13</v>
      </c>
      <c r="K446" s="6">
        <v>0</v>
      </c>
    </row>
    <row r="447" spans="1:11" ht="51" x14ac:dyDescent="0.2">
      <c r="A447" s="11" t="s">
        <v>639</v>
      </c>
      <c r="B447" s="6" t="s">
        <v>857</v>
      </c>
      <c r="C447" s="15" t="s">
        <v>1739</v>
      </c>
      <c r="D447" s="6" t="s">
        <v>2028</v>
      </c>
      <c r="E447" s="6" t="s">
        <v>646</v>
      </c>
      <c r="F447" s="6" t="s">
        <v>550</v>
      </c>
      <c r="G447" s="6" t="s">
        <v>2691</v>
      </c>
      <c r="H447" s="6" t="s">
        <v>2565</v>
      </c>
      <c r="I447" s="6">
        <v>3</v>
      </c>
      <c r="J447" s="6">
        <v>52</v>
      </c>
      <c r="K447" s="6">
        <v>0</v>
      </c>
    </row>
    <row r="448" spans="1:11" ht="76.5" x14ac:dyDescent="0.2">
      <c r="A448" s="6" t="s">
        <v>1790</v>
      </c>
      <c r="B448" s="6" t="s">
        <v>1861</v>
      </c>
      <c r="C448" s="6" t="s">
        <v>4319</v>
      </c>
      <c r="D448" s="6" t="s">
        <v>2444</v>
      </c>
      <c r="E448" s="6" t="s">
        <v>646</v>
      </c>
      <c r="F448" s="6" t="s">
        <v>550</v>
      </c>
      <c r="G448" s="6" t="s">
        <v>2940</v>
      </c>
      <c r="H448" s="6" t="s">
        <v>2804</v>
      </c>
      <c r="I448" s="6">
        <v>3</v>
      </c>
      <c r="J448" s="6">
        <v>22</v>
      </c>
      <c r="K448" s="6">
        <v>0</v>
      </c>
    </row>
    <row r="449" spans="1:11" ht="25.5" x14ac:dyDescent="0.2">
      <c r="A449" s="11" t="s">
        <v>1780</v>
      </c>
      <c r="B449" s="6" t="s">
        <v>1851</v>
      </c>
      <c r="C449" s="6" t="s">
        <v>4319</v>
      </c>
      <c r="D449" s="6" t="s">
        <v>2432</v>
      </c>
      <c r="E449" s="6" t="s">
        <v>646</v>
      </c>
      <c r="F449" s="6" t="s">
        <v>550</v>
      </c>
      <c r="G449" s="6" t="s">
        <v>2420</v>
      </c>
      <c r="H449" s="6" t="s">
        <v>785</v>
      </c>
      <c r="I449" s="6">
        <v>3</v>
      </c>
      <c r="J449" s="6">
        <v>1</v>
      </c>
      <c r="K449" s="6">
        <v>0</v>
      </c>
    </row>
    <row r="450" spans="1:11" ht="25.5" x14ac:dyDescent="0.2">
      <c r="A450" s="6" t="s">
        <v>1779</v>
      </c>
      <c r="B450" s="6" t="s">
        <v>1850</v>
      </c>
      <c r="C450" s="6" t="s">
        <v>4319</v>
      </c>
      <c r="D450" s="6" t="s">
        <v>2431</v>
      </c>
      <c r="E450" s="6" t="s">
        <v>646</v>
      </c>
      <c r="F450" s="6" t="s">
        <v>568</v>
      </c>
      <c r="G450" s="6" t="s">
        <v>2420</v>
      </c>
      <c r="H450" s="6" t="s">
        <v>785</v>
      </c>
      <c r="I450" s="6">
        <v>3</v>
      </c>
      <c r="J450" s="6">
        <v>1</v>
      </c>
      <c r="K450" s="6">
        <v>0</v>
      </c>
    </row>
    <row r="451" spans="1:11" ht="102" x14ac:dyDescent="0.2">
      <c r="A451" s="11" t="s">
        <v>1789</v>
      </c>
      <c r="B451" s="6" t="s">
        <v>1859</v>
      </c>
      <c r="C451" s="6" t="s">
        <v>4319</v>
      </c>
      <c r="D451" s="6" t="s">
        <v>2441</v>
      </c>
      <c r="E451" s="6" t="s">
        <v>646</v>
      </c>
      <c r="F451" s="6" t="s">
        <v>550</v>
      </c>
      <c r="G451" s="6" t="s">
        <v>2505</v>
      </c>
      <c r="H451" s="6" t="s">
        <v>2800</v>
      </c>
      <c r="I451" s="6">
        <v>3</v>
      </c>
      <c r="J451" s="6">
        <v>8</v>
      </c>
      <c r="K451" s="6">
        <v>0</v>
      </c>
    </row>
    <row r="452" spans="1:11" ht="38.25" x14ac:dyDescent="0.2">
      <c r="A452" s="6" t="s">
        <v>721</v>
      </c>
      <c r="B452" s="6" t="s">
        <v>934</v>
      </c>
      <c r="C452" s="6" t="s">
        <v>4208</v>
      </c>
      <c r="D452" s="6" t="s">
        <v>2403</v>
      </c>
      <c r="E452" s="6" t="s">
        <v>646</v>
      </c>
      <c r="F452" s="6" t="s">
        <v>550</v>
      </c>
      <c r="G452" s="6" t="s">
        <v>2763</v>
      </c>
      <c r="H452" s="6" t="s">
        <v>785</v>
      </c>
      <c r="I452" s="6">
        <v>3</v>
      </c>
      <c r="J452" s="6">
        <v>25</v>
      </c>
      <c r="K452" s="6">
        <v>0</v>
      </c>
    </row>
    <row r="453" spans="1:11" ht="25.5" x14ac:dyDescent="0.2">
      <c r="A453" s="11" t="s">
        <v>2896</v>
      </c>
      <c r="B453" s="6" t="s">
        <v>2906</v>
      </c>
      <c r="C453" s="6" t="s">
        <v>4322</v>
      </c>
      <c r="D453" s="6" t="s">
        <v>2897</v>
      </c>
      <c r="E453" s="6" t="s">
        <v>646</v>
      </c>
      <c r="F453" s="6" t="s">
        <v>550</v>
      </c>
      <c r="G453" s="6" t="s">
        <v>2323</v>
      </c>
      <c r="H453" s="6" t="s">
        <v>785</v>
      </c>
      <c r="I453" s="6">
        <v>3</v>
      </c>
      <c r="J453" s="6">
        <v>5</v>
      </c>
      <c r="K453" s="6">
        <v>0</v>
      </c>
    </row>
    <row r="454" spans="1:11" x14ac:dyDescent="0.2">
      <c r="A454" s="11" t="s">
        <v>1570</v>
      </c>
      <c r="B454" s="6" t="s">
        <v>1706</v>
      </c>
      <c r="C454" s="6" t="s">
        <v>1486</v>
      </c>
      <c r="D454" s="6" t="s">
        <v>2298</v>
      </c>
      <c r="E454" s="6" t="s">
        <v>646</v>
      </c>
      <c r="F454" s="6" t="s">
        <v>550</v>
      </c>
      <c r="G454" s="6" t="s">
        <v>2299</v>
      </c>
      <c r="H454" s="6" t="s">
        <v>785</v>
      </c>
      <c r="I454" s="6">
        <v>3</v>
      </c>
      <c r="J454" s="6">
        <v>4</v>
      </c>
      <c r="K454" s="6">
        <v>0</v>
      </c>
    </row>
    <row r="455" spans="1:11" x14ac:dyDescent="0.2">
      <c r="A455" s="9" t="s">
        <v>737</v>
      </c>
      <c r="B455" s="6" t="s">
        <v>1170</v>
      </c>
      <c r="C455" s="13" t="s">
        <v>1488</v>
      </c>
      <c r="D455" s="6" t="s">
        <v>2385</v>
      </c>
      <c r="E455" s="6" t="s">
        <v>646</v>
      </c>
      <c r="F455" s="6" t="s">
        <v>550</v>
      </c>
      <c r="G455" s="6" t="s">
        <v>2505</v>
      </c>
      <c r="H455" s="6" t="s">
        <v>785</v>
      </c>
      <c r="I455" s="6">
        <v>3</v>
      </c>
      <c r="J455" s="6">
        <v>5</v>
      </c>
      <c r="K455" s="6">
        <v>0</v>
      </c>
    </row>
    <row r="456" spans="1:11" ht="153" x14ac:dyDescent="0.2">
      <c r="A456" s="12" t="s">
        <v>562</v>
      </c>
      <c r="B456" s="6" t="s">
        <v>788</v>
      </c>
      <c r="C456" s="6" t="s">
        <v>560</v>
      </c>
      <c r="D456" s="6" t="s">
        <v>1973</v>
      </c>
      <c r="E456" s="6" t="s">
        <v>646</v>
      </c>
      <c r="F456" s="6" t="s">
        <v>550</v>
      </c>
      <c r="G456" s="6" t="s">
        <v>2540</v>
      </c>
      <c r="H456" s="6" t="s">
        <v>2538</v>
      </c>
      <c r="I456" s="6">
        <v>3</v>
      </c>
      <c r="J456" s="6">
        <v>46</v>
      </c>
      <c r="K456" s="6">
        <v>0</v>
      </c>
    </row>
    <row r="457" spans="1:11" ht="63.75" x14ac:dyDescent="0.2">
      <c r="A457" s="11" t="s">
        <v>1145</v>
      </c>
      <c r="B457" s="6" t="s">
        <v>987</v>
      </c>
      <c r="C457" s="6" t="s">
        <v>4032</v>
      </c>
      <c r="D457" s="6" t="s">
        <v>2382</v>
      </c>
      <c r="E457" s="6" t="s">
        <v>646</v>
      </c>
      <c r="F457" s="6" t="s">
        <v>2916</v>
      </c>
      <c r="G457" s="6" t="s">
        <v>2494</v>
      </c>
      <c r="H457" s="6" t="s">
        <v>785</v>
      </c>
      <c r="I457" s="6">
        <v>3</v>
      </c>
      <c r="J457" s="6">
        <v>17</v>
      </c>
      <c r="K457" s="6">
        <v>0</v>
      </c>
    </row>
    <row r="458" spans="1:11" ht="76.5" x14ac:dyDescent="0.2">
      <c r="A458" s="6" t="s">
        <v>1144</v>
      </c>
      <c r="B458" s="6" t="s">
        <v>986</v>
      </c>
      <c r="C458" s="6" t="s">
        <v>4032</v>
      </c>
      <c r="D458" s="6" t="s">
        <v>2380</v>
      </c>
      <c r="E458" s="6" t="s">
        <v>646</v>
      </c>
      <c r="F458" s="6" t="s">
        <v>2916</v>
      </c>
      <c r="G458" s="6" t="s">
        <v>2949</v>
      </c>
      <c r="H458" s="6" t="s">
        <v>2773</v>
      </c>
      <c r="I458" s="6">
        <v>3</v>
      </c>
      <c r="J458" s="6">
        <v>15</v>
      </c>
      <c r="K458" s="6">
        <v>0</v>
      </c>
    </row>
    <row r="459" spans="1:11" ht="38.25" x14ac:dyDescent="0.2">
      <c r="A459" s="11" t="s">
        <v>1094</v>
      </c>
      <c r="B459" s="6" t="s">
        <v>884</v>
      </c>
      <c r="C459" s="6" t="s">
        <v>4170</v>
      </c>
      <c r="D459" s="6" t="s">
        <v>2409</v>
      </c>
      <c r="E459" s="6" t="s">
        <v>646</v>
      </c>
      <c r="F459" s="6" t="s">
        <v>550</v>
      </c>
      <c r="G459" s="6" t="s">
        <v>3997</v>
      </c>
      <c r="H459" s="6" t="s">
        <v>2410</v>
      </c>
      <c r="I459" s="6">
        <v>3</v>
      </c>
      <c r="J459" s="6">
        <v>1</v>
      </c>
      <c r="K459" s="6">
        <v>0</v>
      </c>
    </row>
    <row r="460" spans="1:11" ht="153" x14ac:dyDescent="0.2">
      <c r="A460" s="6" t="s">
        <v>716</v>
      </c>
      <c r="B460" s="6" t="s">
        <v>930</v>
      </c>
      <c r="C460" s="6" t="s">
        <v>4208</v>
      </c>
      <c r="D460" s="6" t="s">
        <v>2396</v>
      </c>
      <c r="E460" s="6" t="s">
        <v>646</v>
      </c>
      <c r="F460" s="6" t="s">
        <v>1115</v>
      </c>
      <c r="G460" s="6" t="s">
        <v>2945</v>
      </c>
      <c r="H460" s="6" t="s">
        <v>1988</v>
      </c>
      <c r="I460" s="6">
        <v>3</v>
      </c>
      <c r="J460" s="6">
        <v>12</v>
      </c>
      <c r="K460" s="6">
        <v>0</v>
      </c>
    </row>
    <row r="461" spans="1:11" ht="25.5" x14ac:dyDescent="0.2">
      <c r="A461" s="6" t="s">
        <v>1070</v>
      </c>
      <c r="B461" s="6" t="s">
        <v>807</v>
      </c>
      <c r="C461" s="6" t="s">
        <v>4030</v>
      </c>
      <c r="D461" s="6" t="s">
        <v>2318</v>
      </c>
      <c r="E461" s="6" t="s">
        <v>646</v>
      </c>
      <c r="F461" s="6" t="s">
        <v>1071</v>
      </c>
      <c r="G461" s="6" t="s">
        <v>2752</v>
      </c>
      <c r="H461" s="6" t="s">
        <v>785</v>
      </c>
      <c r="I461" s="6">
        <v>3</v>
      </c>
      <c r="J461" s="6">
        <v>6</v>
      </c>
      <c r="K461" s="6">
        <v>0</v>
      </c>
    </row>
    <row r="462" spans="1:11" ht="38.25" x14ac:dyDescent="0.2">
      <c r="A462" s="12" t="s">
        <v>638</v>
      </c>
      <c r="B462" s="6" t="s">
        <v>856</v>
      </c>
      <c r="C462" s="13" t="s">
        <v>1739</v>
      </c>
      <c r="D462" s="6" t="s">
        <v>2027</v>
      </c>
      <c r="E462" s="6" t="s">
        <v>646</v>
      </c>
      <c r="F462" s="6" t="s">
        <v>591</v>
      </c>
      <c r="G462" s="6" t="s">
        <v>2026</v>
      </c>
      <c r="H462" s="6" t="s">
        <v>785</v>
      </c>
      <c r="I462" s="6">
        <v>3</v>
      </c>
      <c r="J462" s="6">
        <v>10</v>
      </c>
      <c r="K462" s="6">
        <v>0</v>
      </c>
    </row>
    <row r="463" spans="1:11" ht="25.5" x14ac:dyDescent="0.2">
      <c r="A463" s="6" t="s">
        <v>634</v>
      </c>
      <c r="B463" s="6" t="s">
        <v>852</v>
      </c>
      <c r="C463" s="6" t="s">
        <v>1739</v>
      </c>
      <c r="D463" s="6" t="s">
        <v>2023</v>
      </c>
      <c r="E463" s="6" t="s">
        <v>646</v>
      </c>
      <c r="F463" s="6" t="s">
        <v>591</v>
      </c>
      <c r="G463" s="6" t="s">
        <v>2561</v>
      </c>
      <c r="H463" s="6" t="s">
        <v>2024</v>
      </c>
      <c r="I463" s="6">
        <v>3</v>
      </c>
      <c r="J463" s="6">
        <v>90</v>
      </c>
      <c r="K463" s="6">
        <v>0</v>
      </c>
    </row>
    <row r="464" spans="1:11" ht="38.25" x14ac:dyDescent="0.2">
      <c r="A464" s="11" t="s">
        <v>1062</v>
      </c>
      <c r="B464" s="6" t="s">
        <v>797</v>
      </c>
      <c r="C464" s="6" t="s">
        <v>560</v>
      </c>
      <c r="D464" s="6" t="s">
        <v>1982</v>
      </c>
      <c r="E464" s="6" t="s">
        <v>646</v>
      </c>
      <c r="F464" s="6" t="s">
        <v>1063</v>
      </c>
      <c r="G464" s="6" t="s">
        <v>2544</v>
      </c>
      <c r="H464" s="6" t="s">
        <v>785</v>
      </c>
      <c r="I464" s="6">
        <v>3</v>
      </c>
      <c r="J464" s="6">
        <v>14</v>
      </c>
      <c r="K464" s="6">
        <v>0</v>
      </c>
    </row>
    <row r="465" spans="1:11" ht="51" x14ac:dyDescent="0.2">
      <c r="A465" s="11" t="s">
        <v>684</v>
      </c>
      <c r="B465" s="6" t="s">
        <v>902</v>
      </c>
      <c r="C465" s="6" t="s">
        <v>1487</v>
      </c>
      <c r="D465" s="6" t="s">
        <v>2332</v>
      </c>
      <c r="E465" s="6" t="s">
        <v>646</v>
      </c>
      <c r="F465" s="6" t="s">
        <v>3840</v>
      </c>
      <c r="G465" s="6" t="s">
        <v>2755</v>
      </c>
      <c r="H465" s="6" t="s">
        <v>2756</v>
      </c>
      <c r="I465" s="6">
        <v>3</v>
      </c>
      <c r="J465" s="6">
        <v>17</v>
      </c>
      <c r="K465" s="6">
        <v>0</v>
      </c>
    </row>
    <row r="466" spans="1:11" ht="25.5" x14ac:dyDescent="0.2">
      <c r="A466" s="9" t="s">
        <v>3892</v>
      </c>
      <c r="B466" s="6" t="s">
        <v>3959</v>
      </c>
      <c r="C466" s="6" t="s">
        <v>4324</v>
      </c>
      <c r="D466" s="6" t="s">
        <v>3893</v>
      </c>
      <c r="E466" s="6" t="s">
        <v>646</v>
      </c>
      <c r="F466" s="6" t="s">
        <v>3848</v>
      </c>
      <c r="G466" s="6" t="s">
        <v>3942</v>
      </c>
      <c r="H466" s="6" t="s">
        <v>785</v>
      </c>
      <c r="I466" s="6">
        <v>3</v>
      </c>
      <c r="J466" s="6">
        <v>10</v>
      </c>
      <c r="K466" s="6">
        <v>0</v>
      </c>
    </row>
    <row r="467" spans="1:11" x14ac:dyDescent="0.2">
      <c r="A467" s="11" t="s">
        <v>1086</v>
      </c>
      <c r="B467" s="6" t="s">
        <v>3188</v>
      </c>
      <c r="C467" s="13" t="s">
        <v>3160</v>
      </c>
      <c r="D467" s="6" t="s">
        <v>1987</v>
      </c>
      <c r="E467" s="6" t="s">
        <v>646</v>
      </c>
      <c r="F467" s="6" t="s">
        <v>550</v>
      </c>
      <c r="G467" s="6" t="s">
        <v>2505</v>
      </c>
      <c r="H467" s="6" t="s">
        <v>1988</v>
      </c>
      <c r="I467" s="6">
        <v>3</v>
      </c>
      <c r="J467" s="6">
        <v>4</v>
      </c>
      <c r="K467" s="6">
        <v>0</v>
      </c>
    </row>
    <row r="468" spans="1:11" ht="25.5" x14ac:dyDescent="0.2">
      <c r="A468" s="6" t="s">
        <v>1180</v>
      </c>
      <c r="B468" s="6" t="s">
        <v>942</v>
      </c>
      <c r="C468" s="6" t="s">
        <v>1486</v>
      </c>
      <c r="D468" s="6" t="s">
        <v>2305</v>
      </c>
      <c r="E468" s="6" t="s">
        <v>646</v>
      </c>
      <c r="F468" s="6" t="s">
        <v>550</v>
      </c>
      <c r="G468" s="6" t="s">
        <v>2505</v>
      </c>
      <c r="H468" s="6" t="s">
        <v>2739</v>
      </c>
      <c r="I468" s="6">
        <v>3</v>
      </c>
      <c r="J468" s="6">
        <v>4</v>
      </c>
      <c r="K468" s="6">
        <v>-1</v>
      </c>
    </row>
    <row r="469" spans="1:11" x14ac:dyDescent="0.2">
      <c r="A469" s="11" t="s">
        <v>732</v>
      </c>
      <c r="B469" s="6" t="s">
        <v>945</v>
      </c>
      <c r="C469" s="6" t="s">
        <v>4321</v>
      </c>
      <c r="D469" s="6" t="s">
        <v>2353</v>
      </c>
      <c r="E469" s="6" t="s">
        <v>646</v>
      </c>
      <c r="F469" s="6" t="s">
        <v>550</v>
      </c>
      <c r="G469" s="6" t="s">
        <v>2346</v>
      </c>
      <c r="H469" s="6" t="s">
        <v>785</v>
      </c>
      <c r="I469" s="6">
        <v>3</v>
      </c>
      <c r="J469" s="6">
        <v>16</v>
      </c>
      <c r="K469" s="6">
        <v>-3</v>
      </c>
    </row>
    <row r="470" spans="1:11" ht="38.25" x14ac:dyDescent="0.2">
      <c r="A470" s="6" t="s">
        <v>1799</v>
      </c>
      <c r="B470" s="6" t="s">
        <v>1868</v>
      </c>
      <c r="C470" s="6" t="s">
        <v>1745</v>
      </c>
      <c r="D470" s="6" t="s">
        <v>2457</v>
      </c>
      <c r="E470" s="6" t="s">
        <v>646</v>
      </c>
      <c r="F470" s="6" t="s">
        <v>550</v>
      </c>
      <c r="G470" s="6" t="s">
        <v>2818</v>
      </c>
      <c r="H470" s="6" t="s">
        <v>2511</v>
      </c>
      <c r="I470" s="6">
        <v>3</v>
      </c>
      <c r="J470" s="6">
        <v>2</v>
      </c>
      <c r="K470" s="6">
        <v>0</v>
      </c>
    </row>
    <row r="471" spans="1:11" ht="140.25" x14ac:dyDescent="0.2">
      <c r="A471" s="6" t="s">
        <v>1936</v>
      </c>
      <c r="B471" s="6" t="s">
        <v>1940</v>
      </c>
      <c r="C471" s="6" t="s">
        <v>4322</v>
      </c>
      <c r="D471" s="6" t="s">
        <v>2242</v>
      </c>
      <c r="E471" s="6" t="s">
        <v>646</v>
      </c>
      <c r="F471" s="6" t="s">
        <v>1937</v>
      </c>
      <c r="G471" s="6" t="s">
        <v>2712</v>
      </c>
      <c r="H471" s="6" t="s">
        <v>2710</v>
      </c>
      <c r="I471" s="6">
        <v>3</v>
      </c>
      <c r="J471" s="6">
        <v>17</v>
      </c>
      <c r="K471" s="6">
        <v>0</v>
      </c>
    </row>
    <row r="472" spans="1:11" ht="63.75" x14ac:dyDescent="0.2">
      <c r="A472" s="11" t="s">
        <v>687</v>
      </c>
      <c r="B472" s="6" t="s">
        <v>905</v>
      </c>
      <c r="C472" s="6" t="s">
        <v>1487</v>
      </c>
      <c r="D472" s="6" t="s">
        <v>2335</v>
      </c>
      <c r="E472" s="6" t="s">
        <v>646</v>
      </c>
      <c r="F472" s="6" t="s">
        <v>688</v>
      </c>
      <c r="G472" s="6" t="s">
        <v>2759</v>
      </c>
      <c r="H472" s="6" t="s">
        <v>2762</v>
      </c>
      <c r="I472" s="6">
        <v>3</v>
      </c>
      <c r="J472" s="6">
        <v>15</v>
      </c>
      <c r="K472" s="6">
        <v>0</v>
      </c>
    </row>
    <row r="473" spans="1:11" ht="51" x14ac:dyDescent="0.2">
      <c r="A473" s="6" t="s">
        <v>682</v>
      </c>
      <c r="B473" s="6" t="s">
        <v>902</v>
      </c>
      <c r="C473" s="6" t="s">
        <v>1487</v>
      </c>
      <c r="D473" s="6" t="s">
        <v>2330</v>
      </c>
      <c r="E473" s="6" t="s">
        <v>646</v>
      </c>
      <c r="F473" s="6" t="s">
        <v>3840</v>
      </c>
      <c r="G473" s="6" t="s">
        <v>2327</v>
      </c>
      <c r="H473" s="6" t="s">
        <v>2756</v>
      </c>
      <c r="I473" s="6">
        <v>3</v>
      </c>
      <c r="J473" s="6">
        <v>17</v>
      </c>
      <c r="K473" s="6">
        <v>0</v>
      </c>
    </row>
    <row r="474" spans="1:11" x14ac:dyDescent="0.2">
      <c r="A474" s="6" t="s">
        <v>1828</v>
      </c>
      <c r="B474" s="6" t="s">
        <v>1890</v>
      </c>
      <c r="C474" s="6" t="s">
        <v>1752</v>
      </c>
      <c r="D474" s="6" t="s">
        <v>2504</v>
      </c>
      <c r="E474" s="6" t="s">
        <v>646</v>
      </c>
      <c r="F474" s="6" t="s">
        <v>1065</v>
      </c>
      <c r="G474" s="6" t="s">
        <v>2505</v>
      </c>
      <c r="H474" s="6" t="s">
        <v>785</v>
      </c>
      <c r="I474" s="6">
        <v>3</v>
      </c>
      <c r="J474" s="6">
        <v>8</v>
      </c>
      <c r="K474" s="6">
        <v>0</v>
      </c>
    </row>
    <row r="475" spans="1:11" ht="63.75" x14ac:dyDescent="0.2">
      <c r="A475" s="11" t="s">
        <v>1776</v>
      </c>
      <c r="B475" s="6" t="s">
        <v>1848</v>
      </c>
      <c r="C475" s="6" t="s">
        <v>4380</v>
      </c>
      <c r="D475" s="6" t="s">
        <v>2428</v>
      </c>
      <c r="E475" s="6" t="s">
        <v>646</v>
      </c>
      <c r="F475" s="6" t="s">
        <v>3841</v>
      </c>
      <c r="G475" s="6" t="s">
        <v>2792</v>
      </c>
      <c r="H475" s="6" t="s">
        <v>785</v>
      </c>
      <c r="I475" s="6">
        <v>3</v>
      </c>
      <c r="J475" s="6">
        <v>5</v>
      </c>
      <c r="K475" s="6">
        <v>0</v>
      </c>
    </row>
    <row r="476" spans="1:11" ht="38.25" x14ac:dyDescent="0.2">
      <c r="A476" s="6" t="s">
        <v>1774</v>
      </c>
      <c r="B476" s="6" t="s">
        <v>1846</v>
      </c>
      <c r="C476" s="6" t="s">
        <v>4380</v>
      </c>
      <c r="D476" s="6" t="s">
        <v>2426</v>
      </c>
      <c r="E476" s="6" t="s">
        <v>646</v>
      </c>
      <c r="F476" s="6" t="s">
        <v>550</v>
      </c>
      <c r="G476" s="6" t="s">
        <v>2310</v>
      </c>
      <c r="H476" s="6" t="s">
        <v>2808</v>
      </c>
      <c r="I476" s="6">
        <v>3</v>
      </c>
      <c r="J476" s="6">
        <v>8</v>
      </c>
      <c r="K476" s="6">
        <v>0</v>
      </c>
    </row>
    <row r="477" spans="1:11" x14ac:dyDescent="0.2">
      <c r="A477" s="8" t="s">
        <v>1574</v>
      </c>
      <c r="B477" s="6" t="s">
        <v>1710</v>
      </c>
      <c r="C477" s="6" t="s">
        <v>1486</v>
      </c>
      <c r="D477" s="6" t="s">
        <v>2302</v>
      </c>
      <c r="E477" s="6" t="s">
        <v>646</v>
      </c>
      <c r="F477" s="6" t="s">
        <v>1575</v>
      </c>
      <c r="G477" s="6" t="s">
        <v>2505</v>
      </c>
      <c r="H477" s="6" t="s">
        <v>2307</v>
      </c>
      <c r="I477" s="6">
        <v>3</v>
      </c>
      <c r="J477" s="6">
        <v>3</v>
      </c>
      <c r="K477" s="6">
        <v>0</v>
      </c>
    </row>
    <row r="478" spans="1:11" x14ac:dyDescent="0.2">
      <c r="A478" s="6" t="s">
        <v>1595</v>
      </c>
      <c r="B478" s="6" t="s">
        <v>1730</v>
      </c>
      <c r="C478" s="6" t="s">
        <v>4208</v>
      </c>
      <c r="D478" s="6" t="s">
        <v>2387</v>
      </c>
      <c r="E478" s="6" t="s">
        <v>646</v>
      </c>
      <c r="F478" s="6" t="s">
        <v>1596</v>
      </c>
      <c r="G478" s="6" t="s">
        <v>2505</v>
      </c>
      <c r="H478" s="6" t="s">
        <v>785</v>
      </c>
      <c r="I478" s="6">
        <v>3</v>
      </c>
      <c r="J478" s="6">
        <v>5</v>
      </c>
      <c r="K478" s="6">
        <v>0</v>
      </c>
    </row>
    <row r="479" spans="1:11" ht="25.5" x14ac:dyDescent="0.2">
      <c r="A479" s="6" t="s">
        <v>1777</v>
      </c>
      <c r="B479" s="6" t="s">
        <v>1899</v>
      </c>
      <c r="C479" s="6" t="s">
        <v>4319</v>
      </c>
      <c r="D479" s="6" t="s">
        <v>2429</v>
      </c>
      <c r="E479" s="6" t="s">
        <v>646</v>
      </c>
      <c r="F479" s="6" t="s">
        <v>591</v>
      </c>
      <c r="G479" s="6" t="s">
        <v>2316</v>
      </c>
      <c r="H479" s="6" t="s">
        <v>2790</v>
      </c>
      <c r="I479" s="6">
        <v>3</v>
      </c>
      <c r="J479" s="6">
        <v>2</v>
      </c>
      <c r="K479" s="6">
        <v>0</v>
      </c>
    </row>
    <row r="480" spans="1:11" ht="38.25" x14ac:dyDescent="0.2">
      <c r="A480" s="7" t="s">
        <v>3967</v>
      </c>
      <c r="B480" s="6" t="s">
        <v>3984</v>
      </c>
      <c r="C480" s="6" t="s">
        <v>4018</v>
      </c>
      <c r="D480" s="6" t="s">
        <v>3969</v>
      </c>
      <c r="E480" s="6" t="s">
        <v>646</v>
      </c>
      <c r="F480" s="6" t="s">
        <v>3968</v>
      </c>
      <c r="G480" s="6" t="s">
        <v>4202</v>
      </c>
      <c r="H480" s="6" t="s">
        <v>1997</v>
      </c>
      <c r="I480" s="6">
        <v>3</v>
      </c>
      <c r="J480" s="6">
        <v>6</v>
      </c>
      <c r="K480" s="6">
        <v>0</v>
      </c>
    </row>
    <row r="481" spans="1:11" ht="102" x14ac:dyDescent="0.2">
      <c r="A481" s="12" t="s">
        <v>566</v>
      </c>
      <c r="B481" s="6" t="s">
        <v>799</v>
      </c>
      <c r="C481" s="6" t="s">
        <v>4169</v>
      </c>
      <c r="D481" s="6" t="s">
        <v>2004</v>
      </c>
      <c r="E481" s="6" t="s">
        <v>646</v>
      </c>
      <c r="F481" s="6" t="s">
        <v>1065</v>
      </c>
      <c r="G481" s="6" t="s">
        <v>2003</v>
      </c>
      <c r="H481" s="6" t="s">
        <v>4193</v>
      </c>
      <c r="I481" s="6">
        <v>3</v>
      </c>
      <c r="J481" s="6">
        <v>53</v>
      </c>
      <c r="K481" s="6">
        <v>0</v>
      </c>
    </row>
    <row r="482" spans="1:11" ht="25.5" x14ac:dyDescent="0.2">
      <c r="A482" s="12" t="s">
        <v>1781</v>
      </c>
      <c r="B482" s="13" t="s">
        <v>1852</v>
      </c>
      <c r="C482" s="6" t="s">
        <v>4319</v>
      </c>
      <c r="D482" s="6" t="s">
        <v>2433</v>
      </c>
      <c r="E482" s="6" t="s">
        <v>646</v>
      </c>
      <c r="F482" s="6" t="s">
        <v>1782</v>
      </c>
      <c r="G482" s="6" t="s">
        <v>2420</v>
      </c>
      <c r="H482" s="6" t="s">
        <v>785</v>
      </c>
      <c r="I482" s="6">
        <v>3</v>
      </c>
      <c r="J482" s="6">
        <v>1</v>
      </c>
      <c r="K482" s="6">
        <v>0</v>
      </c>
    </row>
    <row r="483" spans="1:11" ht="25.5" x14ac:dyDescent="0.2">
      <c r="A483" s="9" t="s">
        <v>1490</v>
      </c>
      <c r="B483" s="6" t="s">
        <v>1606</v>
      </c>
      <c r="C483" s="6" t="s">
        <v>1484</v>
      </c>
      <c r="D483" s="6" t="s">
        <v>2015</v>
      </c>
      <c r="E483" s="6" t="s">
        <v>646</v>
      </c>
      <c r="F483" s="6" t="s">
        <v>1491</v>
      </c>
      <c r="G483" s="6" t="s">
        <v>4124</v>
      </c>
      <c r="H483" s="6" t="s">
        <v>785</v>
      </c>
      <c r="I483" s="6">
        <v>3</v>
      </c>
      <c r="J483" s="6">
        <v>6</v>
      </c>
      <c r="K483" s="6">
        <v>0</v>
      </c>
    </row>
    <row r="484" spans="1:11" ht="127.5" x14ac:dyDescent="0.2">
      <c r="A484" s="7" t="s">
        <v>1123</v>
      </c>
      <c r="B484" s="6" t="s">
        <v>958</v>
      </c>
      <c r="C484" s="6" t="s">
        <v>4028</v>
      </c>
      <c r="D484" s="6" t="s">
        <v>2272</v>
      </c>
      <c r="E484" s="6" t="s">
        <v>646</v>
      </c>
      <c r="F484" s="6" t="s">
        <v>550</v>
      </c>
      <c r="G484" s="6" t="s">
        <v>2951</v>
      </c>
      <c r="H484" s="6" t="s">
        <v>2726</v>
      </c>
      <c r="I484" s="6">
        <v>3</v>
      </c>
      <c r="J484" s="6">
        <v>18</v>
      </c>
      <c r="K484" s="6">
        <v>0</v>
      </c>
    </row>
    <row r="485" spans="1:11" ht="25.5" x14ac:dyDescent="0.2">
      <c r="A485" s="11" t="s">
        <v>1095</v>
      </c>
      <c r="B485" s="13" t="s">
        <v>3145</v>
      </c>
      <c r="C485" s="6" t="s">
        <v>4322</v>
      </c>
      <c r="D485" s="6" t="s">
        <v>2226</v>
      </c>
      <c r="E485" s="6" t="s">
        <v>646</v>
      </c>
      <c r="F485" s="6" t="s">
        <v>550</v>
      </c>
      <c r="G485" s="6" t="s">
        <v>2505</v>
      </c>
      <c r="H485" s="6" t="s">
        <v>2228</v>
      </c>
      <c r="I485" s="6">
        <v>3</v>
      </c>
      <c r="J485" s="6">
        <v>7</v>
      </c>
      <c r="K485" s="6">
        <v>0</v>
      </c>
    </row>
    <row r="486" spans="1:11" ht="25.5" x14ac:dyDescent="0.2">
      <c r="A486" s="8" t="s">
        <v>763</v>
      </c>
      <c r="B486" s="6" t="s">
        <v>972</v>
      </c>
      <c r="C486" s="6" t="s">
        <v>4018</v>
      </c>
      <c r="D486" s="6" t="s">
        <v>1995</v>
      </c>
      <c r="E486" s="6" t="s">
        <v>646</v>
      </c>
      <c r="F486" s="6" t="s">
        <v>550</v>
      </c>
      <c r="G486" s="6" t="s">
        <v>2505</v>
      </c>
      <c r="H486" s="6" t="s">
        <v>2294</v>
      </c>
      <c r="I486" s="6">
        <v>3</v>
      </c>
      <c r="J486" s="6">
        <v>10</v>
      </c>
      <c r="K486" s="6">
        <v>0</v>
      </c>
    </row>
    <row r="487" spans="1:11" ht="25.5" x14ac:dyDescent="0.2">
      <c r="A487" s="11" t="s">
        <v>585</v>
      </c>
      <c r="B487" s="6" t="s">
        <v>818</v>
      </c>
      <c r="C487" s="6" t="s">
        <v>4027</v>
      </c>
      <c r="D487" s="6" t="s">
        <v>2018</v>
      </c>
      <c r="E487" s="6" t="s">
        <v>646</v>
      </c>
      <c r="F487" s="6" t="s">
        <v>550</v>
      </c>
      <c r="G487" s="6" t="s">
        <v>2505</v>
      </c>
      <c r="H487" s="6" t="s">
        <v>2294</v>
      </c>
      <c r="I487" s="6">
        <v>3</v>
      </c>
      <c r="J487" s="6">
        <v>12</v>
      </c>
      <c r="K487" s="6">
        <v>0</v>
      </c>
    </row>
    <row r="488" spans="1:11" ht="25.5" x14ac:dyDescent="0.2">
      <c r="A488" s="11" t="s">
        <v>1558</v>
      </c>
      <c r="B488" s="6" t="s">
        <v>888</v>
      </c>
      <c r="C488" s="6" t="s">
        <v>4322</v>
      </c>
      <c r="D488" s="6" t="s">
        <v>2230</v>
      </c>
      <c r="E488" s="6" t="s">
        <v>646</v>
      </c>
      <c r="F488" s="6" t="s">
        <v>550</v>
      </c>
      <c r="G488" s="6" t="s">
        <v>2505</v>
      </c>
      <c r="H488" s="6" t="s">
        <v>2264</v>
      </c>
      <c r="I488" s="6">
        <v>3</v>
      </c>
      <c r="J488" s="6">
        <v>8</v>
      </c>
      <c r="K488" s="6">
        <v>0</v>
      </c>
    </row>
    <row r="489" spans="1:11" ht="25.5" x14ac:dyDescent="0.2">
      <c r="A489" s="6" t="s">
        <v>4041</v>
      </c>
      <c r="B489" s="6" t="s">
        <v>4138</v>
      </c>
      <c r="C489" s="6" t="s">
        <v>4030</v>
      </c>
      <c r="D489" s="6" t="s">
        <v>4043</v>
      </c>
      <c r="E489" s="6" t="s">
        <v>646</v>
      </c>
      <c r="F489" s="6" t="s">
        <v>4042</v>
      </c>
      <c r="G489" s="6" t="s">
        <v>4040</v>
      </c>
      <c r="H489" s="6" t="s">
        <v>785</v>
      </c>
      <c r="I489" s="6">
        <v>3</v>
      </c>
      <c r="J489" s="6">
        <v>8</v>
      </c>
      <c r="K489" s="6">
        <v>0</v>
      </c>
    </row>
    <row r="490" spans="1:11" ht="25.5" x14ac:dyDescent="0.2">
      <c r="A490" s="6" t="s">
        <v>1811</v>
      </c>
      <c r="B490" s="6" t="s">
        <v>1877</v>
      </c>
      <c r="C490" s="6" t="s">
        <v>1745</v>
      </c>
      <c r="D490" s="6" t="s">
        <v>2469</v>
      </c>
      <c r="E490" s="6" t="s">
        <v>646</v>
      </c>
      <c r="F490" s="6" t="s">
        <v>550</v>
      </c>
      <c r="G490" s="6" t="s">
        <v>2505</v>
      </c>
      <c r="H490" s="6" t="s">
        <v>785</v>
      </c>
      <c r="I490" s="6">
        <v>3</v>
      </c>
      <c r="J490" s="6">
        <v>5</v>
      </c>
      <c r="K490" s="6">
        <v>0</v>
      </c>
    </row>
    <row r="491" spans="1:11" ht="38.25" x14ac:dyDescent="0.2">
      <c r="A491" s="12" t="s">
        <v>1559</v>
      </c>
      <c r="B491" s="14" t="s">
        <v>1691</v>
      </c>
      <c r="C491" s="6" t="s">
        <v>4322</v>
      </c>
      <c r="D491" s="6" t="s">
        <v>2232</v>
      </c>
      <c r="E491" s="6" t="s">
        <v>646</v>
      </c>
      <c r="F491" s="6" t="s">
        <v>550</v>
      </c>
      <c r="G491" s="6" t="s">
        <v>2935</v>
      </c>
      <c r="H491" s="6" t="s">
        <v>785</v>
      </c>
      <c r="I491" s="6">
        <v>3</v>
      </c>
      <c r="J491" s="6">
        <v>7</v>
      </c>
      <c r="K491" s="6">
        <v>0</v>
      </c>
    </row>
    <row r="492" spans="1:11" ht="51" x14ac:dyDescent="0.2">
      <c r="A492" s="11" t="s">
        <v>576</v>
      </c>
      <c r="B492" s="13" t="s">
        <v>810</v>
      </c>
      <c r="C492" s="6" t="s">
        <v>4030</v>
      </c>
      <c r="D492" s="6" t="s">
        <v>2321</v>
      </c>
      <c r="E492" s="6" t="s">
        <v>646</v>
      </c>
      <c r="F492" s="6" t="s">
        <v>577</v>
      </c>
      <c r="G492" s="6" t="s">
        <v>2320</v>
      </c>
      <c r="H492" s="6" t="s">
        <v>785</v>
      </c>
      <c r="I492" s="6">
        <v>3</v>
      </c>
      <c r="J492" s="6">
        <v>10</v>
      </c>
      <c r="K492" s="6">
        <v>0</v>
      </c>
    </row>
    <row r="493" spans="1:11" ht="165.75" x14ac:dyDescent="0.2">
      <c r="A493" s="11" t="s">
        <v>668</v>
      </c>
      <c r="B493" s="6" t="s">
        <v>889</v>
      </c>
      <c r="C493" s="6" t="s">
        <v>4322</v>
      </c>
      <c r="D493" s="6" t="s">
        <v>2231</v>
      </c>
      <c r="E493" s="6" t="s">
        <v>646</v>
      </c>
      <c r="F493" s="6" t="s">
        <v>550</v>
      </c>
      <c r="G493" s="6" t="s">
        <v>2962</v>
      </c>
      <c r="H493" s="6" t="s">
        <v>4101</v>
      </c>
      <c r="I493" s="6">
        <v>3</v>
      </c>
      <c r="J493" s="6">
        <v>70</v>
      </c>
      <c r="K493" s="6">
        <v>0</v>
      </c>
    </row>
    <row r="494" spans="1:11" x14ac:dyDescent="0.2">
      <c r="A494" s="8" t="s">
        <v>697</v>
      </c>
      <c r="B494" s="6" t="s">
        <v>911</v>
      </c>
      <c r="C494" s="6" t="s">
        <v>4379</v>
      </c>
      <c r="D494" s="6" t="s">
        <v>2336</v>
      </c>
      <c r="E494" s="6" t="s">
        <v>646</v>
      </c>
      <c r="F494" s="6" t="s">
        <v>550</v>
      </c>
      <c r="G494" s="6" t="s">
        <v>2505</v>
      </c>
      <c r="H494" s="6" t="s">
        <v>785</v>
      </c>
      <c r="I494" s="6">
        <v>3</v>
      </c>
      <c r="J494" s="6">
        <v>5</v>
      </c>
      <c r="K494" s="6">
        <v>0</v>
      </c>
    </row>
    <row r="495" spans="1:11" ht="76.5" x14ac:dyDescent="0.2">
      <c r="A495" s="11" t="s">
        <v>555</v>
      </c>
      <c r="B495" s="6" t="s">
        <v>781</v>
      </c>
      <c r="C495" s="6" t="s">
        <v>1925</v>
      </c>
      <c r="D495" s="6" t="s">
        <v>1960</v>
      </c>
      <c r="E495" s="6" t="s">
        <v>646</v>
      </c>
      <c r="F495" s="6" t="s">
        <v>550</v>
      </c>
      <c r="G495" s="6" t="s">
        <v>2968</v>
      </c>
      <c r="H495" s="6" t="s">
        <v>2527</v>
      </c>
      <c r="I495" s="6">
        <v>3</v>
      </c>
      <c r="J495" s="6">
        <v>8</v>
      </c>
      <c r="K495" s="6">
        <v>0</v>
      </c>
    </row>
    <row r="496" spans="1:11" x14ac:dyDescent="0.2">
      <c r="A496" s="11" t="s">
        <v>3884</v>
      </c>
      <c r="B496" s="6" t="s">
        <v>3936</v>
      </c>
      <c r="C496" s="6" t="s">
        <v>4324</v>
      </c>
      <c r="D496" s="6" t="s">
        <v>3885</v>
      </c>
      <c r="E496" s="6" t="s">
        <v>646</v>
      </c>
      <c r="F496" s="6" t="s">
        <v>550</v>
      </c>
      <c r="G496" s="6" t="s">
        <v>3891</v>
      </c>
      <c r="H496" s="6" t="s">
        <v>3871</v>
      </c>
      <c r="I496" s="6">
        <v>3</v>
      </c>
      <c r="J496" s="6">
        <v>7</v>
      </c>
      <c r="K496" s="6">
        <v>0</v>
      </c>
    </row>
    <row r="497" spans="1:11" ht="51" x14ac:dyDescent="0.2">
      <c r="A497" s="11" t="s">
        <v>1489</v>
      </c>
      <c r="B497" s="6" t="s">
        <v>815</v>
      </c>
      <c r="C497" s="6" t="s">
        <v>1484</v>
      </c>
      <c r="D497" s="6" t="s">
        <v>2014</v>
      </c>
      <c r="E497" s="6" t="s">
        <v>646</v>
      </c>
      <c r="F497" s="6" t="s">
        <v>550</v>
      </c>
      <c r="G497" s="6" t="s">
        <v>4125</v>
      </c>
      <c r="H497" s="6" t="s">
        <v>2558</v>
      </c>
      <c r="I497" s="6">
        <v>3</v>
      </c>
      <c r="J497" s="6">
        <v>16</v>
      </c>
      <c r="K497" s="6">
        <v>0</v>
      </c>
    </row>
    <row r="498" spans="1:11" ht="51" x14ac:dyDescent="0.2">
      <c r="A498" s="11" t="s">
        <v>3894</v>
      </c>
      <c r="B498" s="6" t="s">
        <v>3944</v>
      </c>
      <c r="C498" s="6" t="s">
        <v>4324</v>
      </c>
      <c r="D498" s="6" t="s">
        <v>3896</v>
      </c>
      <c r="E498" s="6" t="s">
        <v>646</v>
      </c>
      <c r="F498" s="6" t="s">
        <v>3895</v>
      </c>
      <c r="G498" s="6" t="s">
        <v>3891</v>
      </c>
      <c r="H498" s="6" t="s">
        <v>785</v>
      </c>
      <c r="I498" s="6">
        <v>3</v>
      </c>
      <c r="J498" s="6">
        <v>46</v>
      </c>
      <c r="K498" s="6">
        <v>0</v>
      </c>
    </row>
    <row r="499" spans="1:11" x14ac:dyDescent="0.2">
      <c r="A499" s="11" t="s">
        <v>735</v>
      </c>
      <c r="B499" s="6" t="s">
        <v>948</v>
      </c>
      <c r="C499" s="6" t="s">
        <v>4321</v>
      </c>
      <c r="D499" s="6" t="s">
        <v>2356</v>
      </c>
      <c r="E499" s="6" t="s">
        <v>646</v>
      </c>
      <c r="F499" s="6" t="s">
        <v>1120</v>
      </c>
      <c r="G499" s="6" t="s">
        <v>2354</v>
      </c>
      <c r="H499" s="6" t="s">
        <v>785</v>
      </c>
      <c r="I499" s="6">
        <v>3</v>
      </c>
      <c r="J499" s="6">
        <v>9</v>
      </c>
      <c r="K499" s="6">
        <v>0</v>
      </c>
    </row>
    <row r="500" spans="1:11" x14ac:dyDescent="0.2">
      <c r="A500" s="12" t="s">
        <v>774</v>
      </c>
      <c r="B500" s="6" t="s">
        <v>1830</v>
      </c>
      <c r="C500" s="6" t="s">
        <v>4385</v>
      </c>
      <c r="D500" s="6" t="s">
        <v>2297</v>
      </c>
      <c r="E500" s="6" t="s">
        <v>646</v>
      </c>
      <c r="F500" s="6" t="s">
        <v>550</v>
      </c>
      <c r="G500" s="6" t="s">
        <v>2505</v>
      </c>
      <c r="H500" s="6" t="s">
        <v>4336</v>
      </c>
      <c r="I500" s="6">
        <v>3</v>
      </c>
      <c r="J500" s="6">
        <v>29</v>
      </c>
      <c r="K500" s="6">
        <v>0</v>
      </c>
    </row>
    <row r="501" spans="1:11" ht="25.5" x14ac:dyDescent="0.2">
      <c r="A501" s="11" t="s">
        <v>3897</v>
      </c>
      <c r="B501" s="6" t="s">
        <v>3945</v>
      </c>
      <c r="C501" s="6" t="s">
        <v>4324</v>
      </c>
      <c r="D501" s="6" t="s">
        <v>3899</v>
      </c>
      <c r="E501" s="6" t="s">
        <v>646</v>
      </c>
      <c r="F501" s="6" t="s">
        <v>3898</v>
      </c>
      <c r="G501" s="6" t="s">
        <v>3891</v>
      </c>
      <c r="H501" s="6" t="s">
        <v>3881</v>
      </c>
      <c r="I501" s="6">
        <v>3</v>
      </c>
      <c r="J501" s="6">
        <v>9</v>
      </c>
      <c r="K501" s="6">
        <v>0</v>
      </c>
    </row>
    <row r="502" spans="1:11" ht="76.5" x14ac:dyDescent="0.2">
      <c r="A502" s="11" t="s">
        <v>1093</v>
      </c>
      <c r="B502" s="6" t="s">
        <v>879</v>
      </c>
      <c r="C502" s="6" t="s">
        <v>4381</v>
      </c>
      <c r="D502" s="6" t="s">
        <v>2523</v>
      </c>
      <c r="E502" s="6" t="s">
        <v>646</v>
      </c>
      <c r="F502" s="6" t="s">
        <v>550</v>
      </c>
      <c r="G502" s="6" t="s">
        <v>2547</v>
      </c>
      <c r="H502" s="6" t="s">
        <v>3916</v>
      </c>
      <c r="I502" s="6">
        <v>3</v>
      </c>
      <c r="J502" s="6">
        <v>24</v>
      </c>
      <c r="K502" s="6">
        <v>0</v>
      </c>
    </row>
    <row r="503" spans="1:11" ht="76.5" x14ac:dyDescent="0.2">
      <c r="A503" s="11" t="s">
        <v>3900</v>
      </c>
      <c r="B503" s="6" t="s">
        <v>3947</v>
      </c>
      <c r="C503" s="6" t="s">
        <v>4324</v>
      </c>
      <c r="D503" s="6" t="s">
        <v>3902</v>
      </c>
      <c r="E503" s="6" t="s">
        <v>646</v>
      </c>
      <c r="F503" s="6" t="s">
        <v>3901</v>
      </c>
      <c r="G503" s="6" t="s">
        <v>3891</v>
      </c>
      <c r="H503" s="6" t="s">
        <v>3950</v>
      </c>
      <c r="I503" s="6">
        <v>3</v>
      </c>
      <c r="J503" s="6">
        <v>42</v>
      </c>
      <c r="K503" s="6">
        <v>0</v>
      </c>
    </row>
    <row r="504" spans="1:11" x14ac:dyDescent="0.2">
      <c r="A504" s="11" t="s">
        <v>1600</v>
      </c>
      <c r="B504" s="6" t="s">
        <v>1732</v>
      </c>
      <c r="C504" s="6" t="s">
        <v>4208</v>
      </c>
      <c r="D504" s="6" t="s">
        <v>2401</v>
      </c>
      <c r="E504" s="6" t="s">
        <v>646</v>
      </c>
      <c r="F504" s="6" t="s">
        <v>4038</v>
      </c>
      <c r="G504" s="6" t="s">
        <v>2400</v>
      </c>
      <c r="H504" s="6" t="s">
        <v>785</v>
      </c>
      <c r="I504" s="6">
        <v>3</v>
      </c>
      <c r="J504" s="6">
        <v>8</v>
      </c>
      <c r="K504" s="6">
        <v>0</v>
      </c>
    </row>
    <row r="505" spans="1:11" ht="63.75" x14ac:dyDescent="0.2">
      <c r="A505" s="11" t="s">
        <v>583</v>
      </c>
      <c r="B505" s="6" t="s">
        <v>816</v>
      </c>
      <c r="C505" s="6" t="s">
        <v>4027</v>
      </c>
      <c r="D505" s="6" t="s">
        <v>2016</v>
      </c>
      <c r="E505" s="6" t="s">
        <v>646</v>
      </c>
      <c r="F505" s="6" t="s">
        <v>1074</v>
      </c>
      <c r="G505" s="6" t="s">
        <v>2958</v>
      </c>
      <c r="H505" s="6" t="s">
        <v>2559</v>
      </c>
      <c r="I505" s="6">
        <v>3</v>
      </c>
      <c r="J505" s="6">
        <v>55</v>
      </c>
      <c r="K505" s="6">
        <v>0</v>
      </c>
    </row>
    <row r="506" spans="1:11" ht="63.75" x14ac:dyDescent="0.2">
      <c r="A506" s="11" t="s">
        <v>1771</v>
      </c>
      <c r="B506" s="6" t="s">
        <v>1844</v>
      </c>
      <c r="C506" s="6" t="s">
        <v>4380</v>
      </c>
      <c r="D506" s="6" t="s">
        <v>2424</v>
      </c>
      <c r="E506" s="6" t="s">
        <v>646</v>
      </c>
      <c r="F506" s="6" t="s">
        <v>1921</v>
      </c>
      <c r="G506" s="6" t="s">
        <v>2742</v>
      </c>
      <c r="H506" s="6" t="s">
        <v>2785</v>
      </c>
      <c r="I506" s="6">
        <v>3</v>
      </c>
      <c r="J506" s="6">
        <v>14</v>
      </c>
      <c r="K506" s="6">
        <v>0</v>
      </c>
    </row>
    <row r="507" spans="1:11" ht="63.75" x14ac:dyDescent="0.2">
      <c r="A507" s="6" t="s">
        <v>667</v>
      </c>
      <c r="B507" s="6" t="s">
        <v>887</v>
      </c>
      <c r="C507" s="6" t="s">
        <v>4322</v>
      </c>
      <c r="D507" s="6" t="s">
        <v>2225</v>
      </c>
      <c r="E507" s="6" t="s">
        <v>646</v>
      </c>
      <c r="F507" s="6" t="s">
        <v>1065</v>
      </c>
      <c r="G507" s="6" t="s">
        <v>2233</v>
      </c>
      <c r="H507" s="6" t="s">
        <v>785</v>
      </c>
      <c r="I507" s="6">
        <v>3</v>
      </c>
      <c r="J507" s="6">
        <v>16</v>
      </c>
      <c r="K507" s="6">
        <v>0</v>
      </c>
    </row>
    <row r="508" spans="1:11" x14ac:dyDescent="0.2">
      <c r="A508" s="11" t="s">
        <v>1572</v>
      </c>
      <c r="B508" s="6" t="s">
        <v>1708</v>
      </c>
      <c r="C508" s="6" t="s">
        <v>1486</v>
      </c>
      <c r="D508" s="6" t="s">
        <v>2300</v>
      </c>
      <c r="E508" s="6" t="s">
        <v>646</v>
      </c>
      <c r="F508" s="6" t="s">
        <v>550</v>
      </c>
      <c r="G508" s="6" t="s">
        <v>2299</v>
      </c>
      <c r="H508" s="6" t="s">
        <v>785</v>
      </c>
      <c r="I508" s="6">
        <v>3</v>
      </c>
      <c r="J508" s="6">
        <v>4</v>
      </c>
      <c r="K508" s="6">
        <v>0</v>
      </c>
    </row>
    <row r="509" spans="1:11" ht="51" x14ac:dyDescent="0.2">
      <c r="A509" s="6" t="s">
        <v>1762</v>
      </c>
      <c r="B509" s="6" t="s">
        <v>1836</v>
      </c>
      <c r="C509" s="6" t="s">
        <v>1741</v>
      </c>
      <c r="D509" s="6" t="s">
        <v>2416</v>
      </c>
      <c r="E509" s="6" t="s">
        <v>646</v>
      </c>
      <c r="F509" s="6" t="s">
        <v>550</v>
      </c>
      <c r="G509" s="6" t="s">
        <v>2780</v>
      </c>
      <c r="H509" s="6" t="s">
        <v>2781</v>
      </c>
      <c r="I509" s="6">
        <v>3</v>
      </c>
      <c r="J509" s="6">
        <v>6</v>
      </c>
      <c r="K509" s="6">
        <v>0</v>
      </c>
    </row>
    <row r="510" spans="1:11" ht="38.25" x14ac:dyDescent="0.2">
      <c r="A510" s="6" t="s">
        <v>761</v>
      </c>
      <c r="B510" s="6" t="s">
        <v>1703</v>
      </c>
      <c r="C510" s="6" t="s">
        <v>4028</v>
      </c>
      <c r="D510" s="6" t="s">
        <v>2289</v>
      </c>
      <c r="E510" s="6" t="s">
        <v>646</v>
      </c>
      <c r="F510" s="6" t="s">
        <v>550</v>
      </c>
      <c r="G510" s="6" t="s">
        <v>2505</v>
      </c>
      <c r="H510" s="6" t="s">
        <v>785</v>
      </c>
      <c r="I510" s="6">
        <v>3</v>
      </c>
      <c r="J510" s="6">
        <v>34</v>
      </c>
      <c r="K510" s="6">
        <v>0</v>
      </c>
    </row>
    <row r="511" spans="1:11" ht="25.5" x14ac:dyDescent="0.2">
      <c r="A511" s="12" t="s">
        <v>2997</v>
      </c>
      <c r="B511" s="14" t="s">
        <v>897</v>
      </c>
      <c r="C511" s="6" t="s">
        <v>4322</v>
      </c>
      <c r="D511" s="6" t="s">
        <v>2245</v>
      </c>
      <c r="E511" s="6" t="s">
        <v>646</v>
      </c>
      <c r="F511" s="6" t="s">
        <v>550</v>
      </c>
      <c r="G511" s="6" t="s">
        <v>2505</v>
      </c>
      <c r="H511" s="6" t="s">
        <v>2246</v>
      </c>
      <c r="I511" s="6">
        <v>3</v>
      </c>
      <c r="J511" s="6">
        <v>34</v>
      </c>
      <c r="K511" s="6">
        <v>0</v>
      </c>
    </row>
    <row r="512" spans="1:11" x14ac:dyDescent="0.2">
      <c r="A512" s="11" t="s">
        <v>1083</v>
      </c>
      <c r="B512" s="6" t="s">
        <v>861</v>
      </c>
      <c r="C512" s="6" t="s">
        <v>1173</v>
      </c>
      <c r="D512" s="6" t="s">
        <v>1984</v>
      </c>
      <c r="E512" s="6" t="s">
        <v>646</v>
      </c>
      <c r="F512" s="6" t="s">
        <v>550</v>
      </c>
      <c r="G512" s="6" t="s">
        <v>2505</v>
      </c>
      <c r="H512" s="6" t="s">
        <v>785</v>
      </c>
      <c r="I512" s="6">
        <v>3</v>
      </c>
      <c r="J512" s="6">
        <v>15</v>
      </c>
      <c r="K512" s="6">
        <v>0</v>
      </c>
    </row>
    <row r="513" spans="1:11" ht="25.5" x14ac:dyDescent="0.2">
      <c r="A513" s="11" t="s">
        <v>3911</v>
      </c>
      <c r="B513" s="6" t="s">
        <v>3955</v>
      </c>
      <c r="C513" s="6" t="s">
        <v>4324</v>
      </c>
      <c r="D513" s="6" t="s">
        <v>3912</v>
      </c>
      <c r="E513" s="6" t="s">
        <v>646</v>
      </c>
      <c r="F513" s="6" t="s">
        <v>550</v>
      </c>
      <c r="G513" s="6" t="s">
        <v>3891</v>
      </c>
      <c r="H513" s="6" t="s">
        <v>785</v>
      </c>
      <c r="I513" s="6">
        <v>3</v>
      </c>
      <c r="J513" s="6">
        <v>26</v>
      </c>
      <c r="K513" s="6">
        <v>0</v>
      </c>
    </row>
    <row r="514" spans="1:11" ht="25.5" x14ac:dyDescent="0.2">
      <c r="A514" s="11" t="s">
        <v>1096</v>
      </c>
      <c r="B514" s="6" t="s">
        <v>1153</v>
      </c>
      <c r="C514" s="6" t="s">
        <v>4322</v>
      </c>
      <c r="D514" s="6" t="s">
        <v>2239</v>
      </c>
      <c r="E514" s="6" t="s">
        <v>646</v>
      </c>
      <c r="F514" s="6" t="s">
        <v>550</v>
      </c>
      <c r="G514" s="6" t="s">
        <v>2505</v>
      </c>
      <c r="H514" s="6" t="s">
        <v>2246</v>
      </c>
      <c r="I514" s="6">
        <v>3</v>
      </c>
      <c r="J514" s="6">
        <v>21</v>
      </c>
      <c r="K514" s="6">
        <v>0</v>
      </c>
    </row>
    <row r="515" spans="1:11" ht="25.5" x14ac:dyDescent="0.2">
      <c r="A515" s="11" t="s">
        <v>672</v>
      </c>
      <c r="B515" s="6" t="s">
        <v>893</v>
      </c>
      <c r="C515" s="6" t="s">
        <v>4322</v>
      </c>
      <c r="D515" s="6" t="s">
        <v>2237</v>
      </c>
      <c r="E515" s="6" t="s">
        <v>646</v>
      </c>
      <c r="F515" s="6" t="s">
        <v>550</v>
      </c>
      <c r="G515" s="6" t="s">
        <v>2505</v>
      </c>
      <c r="H515" s="6" t="s">
        <v>2246</v>
      </c>
      <c r="I515" s="6">
        <v>3</v>
      </c>
      <c r="J515" s="6">
        <v>21</v>
      </c>
      <c r="K515" s="6">
        <v>0</v>
      </c>
    </row>
    <row r="516" spans="1:11" ht="51" x14ac:dyDescent="0.2">
      <c r="A516" s="11" t="s">
        <v>601</v>
      </c>
      <c r="B516" s="6" t="s">
        <v>831</v>
      </c>
      <c r="C516" s="6" t="s">
        <v>2910</v>
      </c>
      <c r="D516" s="6" t="s">
        <v>2492</v>
      </c>
      <c r="E516" s="6" t="s">
        <v>646</v>
      </c>
      <c r="F516" s="6" t="s">
        <v>550</v>
      </c>
      <c r="G516" s="6" t="s">
        <v>2505</v>
      </c>
      <c r="H516" s="6" t="s">
        <v>2443</v>
      </c>
      <c r="I516" s="6">
        <v>3</v>
      </c>
      <c r="J516" s="6">
        <v>31</v>
      </c>
      <c r="K516" s="6">
        <v>0</v>
      </c>
    </row>
    <row r="517" spans="1:11" ht="51" x14ac:dyDescent="0.2">
      <c r="A517" s="12" t="s">
        <v>1174</v>
      </c>
      <c r="B517" s="6" t="s">
        <v>886</v>
      </c>
      <c r="C517" s="6" t="s">
        <v>4322</v>
      </c>
      <c r="D517" s="6" t="s">
        <v>2224</v>
      </c>
      <c r="E517" s="6" t="s">
        <v>646</v>
      </c>
      <c r="F517" s="6" t="s">
        <v>550</v>
      </c>
      <c r="G517" s="6" t="s">
        <v>2505</v>
      </c>
      <c r="H517" s="6" t="s">
        <v>785</v>
      </c>
      <c r="I517" s="6">
        <v>3</v>
      </c>
      <c r="J517" s="6">
        <v>21</v>
      </c>
      <c r="K517" s="6">
        <v>0</v>
      </c>
    </row>
    <row r="518" spans="1:11" x14ac:dyDescent="0.2">
      <c r="A518" s="8" t="s">
        <v>734</v>
      </c>
      <c r="B518" s="251" t="s">
        <v>947</v>
      </c>
      <c r="C518" s="6" t="s">
        <v>4321</v>
      </c>
      <c r="D518" s="6" t="s">
        <v>2355</v>
      </c>
      <c r="E518" s="6" t="s">
        <v>553</v>
      </c>
      <c r="F518" s="6" t="s">
        <v>1119</v>
      </c>
      <c r="G518" s="6" t="s">
        <v>2354</v>
      </c>
      <c r="H518" s="6" t="s">
        <v>785</v>
      </c>
      <c r="I518" s="6">
        <v>3</v>
      </c>
      <c r="J518" s="6">
        <v>6</v>
      </c>
      <c r="K518" s="6">
        <v>0</v>
      </c>
    </row>
    <row r="519" spans="1:11" ht="25.5" x14ac:dyDescent="0.2">
      <c r="A519" s="11" t="s">
        <v>4081</v>
      </c>
      <c r="B519" s="6" t="s">
        <v>4119</v>
      </c>
      <c r="C519" s="6" t="s">
        <v>4387</v>
      </c>
      <c r="D519" s="6" t="s">
        <v>4083</v>
      </c>
      <c r="E519" s="6" t="s">
        <v>553</v>
      </c>
      <c r="F519" s="6" t="s">
        <v>4082</v>
      </c>
      <c r="G519" s="6" t="s">
        <v>4062</v>
      </c>
      <c r="H519" s="6" t="s">
        <v>785</v>
      </c>
      <c r="I519" s="6">
        <v>3</v>
      </c>
      <c r="J519" s="6">
        <v>21</v>
      </c>
      <c r="K519" s="6">
        <v>0</v>
      </c>
    </row>
    <row r="520" spans="1:11" ht="25.5" x14ac:dyDescent="0.2">
      <c r="A520" s="12" t="s">
        <v>2894</v>
      </c>
      <c r="B520" s="6" t="s">
        <v>2905</v>
      </c>
      <c r="C520" s="6" t="s">
        <v>4322</v>
      </c>
      <c r="D520" s="6" t="s">
        <v>2895</v>
      </c>
      <c r="E520" s="6" t="s">
        <v>646</v>
      </c>
      <c r="F520" s="6" t="s">
        <v>550</v>
      </c>
      <c r="G520" s="6" t="s">
        <v>2323</v>
      </c>
      <c r="H520" s="6" t="s">
        <v>785</v>
      </c>
      <c r="I520" s="6">
        <v>3</v>
      </c>
      <c r="J520" s="6">
        <v>3</v>
      </c>
      <c r="K520" s="6">
        <v>0</v>
      </c>
    </row>
    <row r="521" spans="1:11" ht="25.5" x14ac:dyDescent="0.2">
      <c r="A521" s="12" t="s">
        <v>561</v>
      </c>
      <c r="B521" s="6" t="s">
        <v>787</v>
      </c>
      <c r="C521" s="6" t="s">
        <v>560</v>
      </c>
      <c r="D521" s="6" t="s">
        <v>1972</v>
      </c>
      <c r="E521" s="6" t="s">
        <v>646</v>
      </c>
      <c r="F521" s="6" t="s">
        <v>4035</v>
      </c>
      <c r="G521" s="6" t="s">
        <v>4091</v>
      </c>
      <c r="H521" s="6" t="s">
        <v>785</v>
      </c>
      <c r="I521" s="6">
        <v>3</v>
      </c>
      <c r="J521" s="6">
        <v>15</v>
      </c>
      <c r="K521" s="6">
        <v>0</v>
      </c>
    </row>
    <row r="522" spans="1:11" ht="51" x14ac:dyDescent="0.2">
      <c r="A522" s="6" t="s">
        <v>700</v>
      </c>
      <c r="B522" s="6" t="s">
        <v>4403</v>
      </c>
      <c r="C522" s="6" t="s">
        <v>4379</v>
      </c>
      <c r="D522" s="6" t="s">
        <v>2341</v>
      </c>
      <c r="E522" s="6" t="s">
        <v>646</v>
      </c>
      <c r="F522" s="6" t="s">
        <v>550</v>
      </c>
      <c r="G522" s="6" t="s">
        <v>2842</v>
      </c>
      <c r="H522" s="6" t="s">
        <v>785</v>
      </c>
      <c r="I522" s="6">
        <v>3</v>
      </c>
      <c r="J522" s="6">
        <v>9</v>
      </c>
      <c r="K522" s="6">
        <v>0</v>
      </c>
    </row>
    <row r="523" spans="1:11" ht="51" x14ac:dyDescent="0.2">
      <c r="A523" s="11" t="s">
        <v>1767</v>
      </c>
      <c r="B523" s="6" t="s">
        <v>1841</v>
      </c>
      <c r="C523" s="6" t="s">
        <v>4380</v>
      </c>
      <c r="D523" s="6" t="s">
        <v>2421</v>
      </c>
      <c r="E523" s="6" t="s">
        <v>646</v>
      </c>
      <c r="F523" s="6" t="s">
        <v>1768</v>
      </c>
      <c r="G523" s="6" t="s">
        <v>2791</v>
      </c>
      <c r="H523" s="6" t="s">
        <v>785</v>
      </c>
      <c r="I523" s="6">
        <v>3</v>
      </c>
      <c r="J523" s="6">
        <v>1</v>
      </c>
      <c r="K523" s="6">
        <v>0</v>
      </c>
    </row>
    <row r="524" spans="1:11" ht="51" x14ac:dyDescent="0.2">
      <c r="A524" s="6" t="s">
        <v>1075</v>
      </c>
      <c r="B524" s="6" t="s">
        <v>817</v>
      </c>
      <c r="C524" s="6" t="s">
        <v>4027</v>
      </c>
      <c r="D524" s="6" t="s">
        <v>2017</v>
      </c>
      <c r="E524" s="6" t="s">
        <v>646</v>
      </c>
      <c r="F524" s="6" t="s">
        <v>584</v>
      </c>
      <c r="G524" s="6" t="s">
        <v>2016</v>
      </c>
      <c r="H524" s="6" t="s">
        <v>785</v>
      </c>
      <c r="I524" s="6">
        <v>4</v>
      </c>
      <c r="J524" s="6">
        <v>5</v>
      </c>
      <c r="K524" s="6">
        <v>0</v>
      </c>
    </row>
    <row r="525" spans="1:11" ht="38.25" x14ac:dyDescent="0.2">
      <c r="A525" s="12" t="s">
        <v>3880</v>
      </c>
      <c r="B525" s="6" t="s">
        <v>3934</v>
      </c>
      <c r="C525" s="6" t="s">
        <v>4324</v>
      </c>
      <c r="D525" s="6" t="s">
        <v>3881</v>
      </c>
      <c r="E525" s="6" t="s">
        <v>646</v>
      </c>
      <c r="F525" s="6" t="s">
        <v>550</v>
      </c>
      <c r="G525" s="6" t="s">
        <v>3946</v>
      </c>
      <c r="H525" s="6" t="s">
        <v>3935</v>
      </c>
      <c r="I525" s="6">
        <v>4</v>
      </c>
      <c r="J525" s="6">
        <v>26</v>
      </c>
      <c r="K525" s="6">
        <v>0</v>
      </c>
    </row>
    <row r="526" spans="1:11" ht="25.5" x14ac:dyDescent="0.2">
      <c r="A526" s="12" t="s">
        <v>753</v>
      </c>
      <c r="B526" s="14" t="s">
        <v>965</v>
      </c>
      <c r="C526" s="6" t="s">
        <v>4028</v>
      </c>
      <c r="D526" s="6" t="s">
        <v>2281</v>
      </c>
      <c r="E526" s="6" t="s">
        <v>646</v>
      </c>
      <c r="F526" s="6" t="s">
        <v>550</v>
      </c>
      <c r="G526" s="6" t="s">
        <v>2841</v>
      </c>
      <c r="H526" s="6" t="s">
        <v>785</v>
      </c>
      <c r="I526" s="6">
        <v>4</v>
      </c>
      <c r="J526" s="6">
        <v>4</v>
      </c>
      <c r="K526" s="6">
        <v>0</v>
      </c>
    </row>
    <row r="527" spans="1:11" ht="89.25" x14ac:dyDescent="0.2">
      <c r="A527" s="11" t="s">
        <v>676</v>
      </c>
      <c r="B527" s="6" t="s">
        <v>898</v>
      </c>
      <c r="C527" s="6" t="s">
        <v>4322</v>
      </c>
      <c r="D527" s="6" t="s">
        <v>2247</v>
      </c>
      <c r="E527" s="6" t="s">
        <v>646</v>
      </c>
      <c r="F527" s="6" t="s">
        <v>550</v>
      </c>
      <c r="G527" s="6" t="s">
        <v>3002</v>
      </c>
      <c r="H527" s="6" t="s">
        <v>2970</v>
      </c>
      <c r="I527" s="6">
        <v>4</v>
      </c>
      <c r="J527" s="6">
        <v>45</v>
      </c>
      <c r="K527" s="6">
        <v>0</v>
      </c>
    </row>
    <row r="528" spans="1:11" ht="89.25" x14ac:dyDescent="0.2">
      <c r="A528" s="11" t="s">
        <v>1804</v>
      </c>
      <c r="B528" s="6" t="s">
        <v>1873</v>
      </c>
      <c r="C528" s="6" t="s">
        <v>1745</v>
      </c>
      <c r="D528" s="6" t="s">
        <v>2462</v>
      </c>
      <c r="E528" s="6" t="s">
        <v>646</v>
      </c>
      <c r="F528" s="6" t="s">
        <v>550</v>
      </c>
      <c r="G528" s="6" t="s">
        <v>2948</v>
      </c>
      <c r="H528" s="6" t="s">
        <v>2823</v>
      </c>
      <c r="I528" s="6">
        <v>4</v>
      </c>
      <c r="J528" s="6">
        <v>7</v>
      </c>
      <c r="K528" s="6">
        <v>0</v>
      </c>
    </row>
    <row r="529" spans="1:11" ht="25.5" x14ac:dyDescent="0.2">
      <c r="A529" s="11" t="s">
        <v>558</v>
      </c>
      <c r="B529" s="6" t="s">
        <v>784</v>
      </c>
      <c r="C529" s="6" t="s">
        <v>1925</v>
      </c>
      <c r="D529" s="6" t="s">
        <v>1963</v>
      </c>
      <c r="E529" s="6" t="s">
        <v>646</v>
      </c>
      <c r="F529" s="6" t="s">
        <v>550</v>
      </c>
      <c r="G529" s="6" t="s">
        <v>1960</v>
      </c>
      <c r="H529" s="14" t="s">
        <v>2223</v>
      </c>
      <c r="I529" s="6">
        <v>4</v>
      </c>
      <c r="J529" s="6">
        <v>1</v>
      </c>
      <c r="K529" s="6">
        <v>0</v>
      </c>
    </row>
    <row r="530" spans="1:11" ht="216.75" x14ac:dyDescent="0.2">
      <c r="A530" s="8" t="s">
        <v>1820</v>
      </c>
      <c r="B530" s="6" t="s">
        <v>1885</v>
      </c>
      <c r="C530" s="13" t="s">
        <v>1915</v>
      </c>
      <c r="D530" s="6" t="s">
        <v>2498</v>
      </c>
      <c r="E530" s="6" t="s">
        <v>646</v>
      </c>
      <c r="F530" s="6" t="s">
        <v>1921</v>
      </c>
      <c r="G530" s="6" t="s">
        <v>2950</v>
      </c>
      <c r="H530" s="14" t="s">
        <v>2384</v>
      </c>
      <c r="I530" s="6">
        <v>4</v>
      </c>
      <c r="J530" s="6">
        <v>8</v>
      </c>
      <c r="K530" s="6">
        <v>0</v>
      </c>
    </row>
    <row r="531" spans="1:11" ht="63.75" x14ac:dyDescent="0.2">
      <c r="A531" s="9" t="s">
        <v>1763</v>
      </c>
      <c r="B531" s="6" t="s">
        <v>1837</v>
      </c>
      <c r="C531" s="13" t="s">
        <v>1741</v>
      </c>
      <c r="D531" s="6" t="s">
        <v>2417</v>
      </c>
      <c r="E531" s="6" t="s">
        <v>646</v>
      </c>
      <c r="F531" s="6" t="s">
        <v>550</v>
      </c>
      <c r="G531" s="6" t="s">
        <v>2941</v>
      </c>
      <c r="H531" s="6" t="s">
        <v>2782</v>
      </c>
      <c r="I531" s="6">
        <v>4</v>
      </c>
      <c r="J531" s="6">
        <v>8</v>
      </c>
      <c r="K531" s="6">
        <v>0</v>
      </c>
    </row>
    <row r="532" spans="1:11" ht="25.5" x14ac:dyDescent="0.2">
      <c r="A532" s="11" t="s">
        <v>709</v>
      </c>
      <c r="B532" s="6" t="s">
        <v>924</v>
      </c>
      <c r="C532" s="6" t="s">
        <v>4208</v>
      </c>
      <c r="D532" s="6" t="s">
        <v>2390</v>
      </c>
      <c r="E532" s="6" t="s">
        <v>646</v>
      </c>
      <c r="F532" s="6" t="s">
        <v>1112</v>
      </c>
      <c r="G532" s="6" t="s">
        <v>2732</v>
      </c>
      <c r="H532" s="6" t="s">
        <v>785</v>
      </c>
      <c r="I532" s="6">
        <v>4</v>
      </c>
      <c r="J532" s="6">
        <v>18</v>
      </c>
      <c r="K532" s="6">
        <v>0</v>
      </c>
    </row>
    <row r="533" spans="1:11" ht="25.5" x14ac:dyDescent="0.2">
      <c r="A533" s="6" t="s">
        <v>1066</v>
      </c>
      <c r="B533" s="6" t="s">
        <v>800</v>
      </c>
      <c r="C533" s="6" t="s">
        <v>4169</v>
      </c>
      <c r="D533" s="6" t="s">
        <v>2005</v>
      </c>
      <c r="E533" s="6" t="s">
        <v>646</v>
      </c>
      <c r="F533" s="6" t="s">
        <v>1067</v>
      </c>
      <c r="G533" s="6" t="s">
        <v>2004</v>
      </c>
      <c r="H533" s="6" t="s">
        <v>785</v>
      </c>
      <c r="I533" s="6">
        <v>4</v>
      </c>
      <c r="J533" s="6">
        <v>1</v>
      </c>
      <c r="K533" s="6">
        <v>0</v>
      </c>
    </row>
    <row r="534" spans="1:11" ht="25.5" x14ac:dyDescent="0.2">
      <c r="A534" s="6" t="s">
        <v>1113</v>
      </c>
      <c r="B534" s="6" t="s">
        <v>928</v>
      </c>
      <c r="C534" s="6" t="s">
        <v>4208</v>
      </c>
      <c r="D534" s="6" t="s">
        <v>2394</v>
      </c>
      <c r="E534" s="6" t="s">
        <v>646</v>
      </c>
      <c r="F534" s="6" t="s">
        <v>1114</v>
      </c>
      <c r="G534" s="6" t="s">
        <v>2016</v>
      </c>
      <c r="H534" s="6" t="s">
        <v>785</v>
      </c>
      <c r="I534" s="6">
        <v>4</v>
      </c>
      <c r="J534" s="6">
        <v>15</v>
      </c>
      <c r="K534" s="6">
        <v>0</v>
      </c>
    </row>
    <row r="535" spans="1:11" ht="25.5" x14ac:dyDescent="0.2">
      <c r="A535" s="6" t="s">
        <v>3136</v>
      </c>
      <c r="B535" s="6" t="s">
        <v>3158</v>
      </c>
      <c r="C535" s="6" t="s">
        <v>4032</v>
      </c>
      <c r="D535" s="6" t="s">
        <v>3138</v>
      </c>
      <c r="E535" s="6" t="s">
        <v>646</v>
      </c>
      <c r="F535" s="6" t="s">
        <v>3137</v>
      </c>
      <c r="G535" s="6" t="s">
        <v>2523</v>
      </c>
      <c r="H535" s="6" t="s">
        <v>785</v>
      </c>
      <c r="I535" s="6">
        <v>4</v>
      </c>
      <c r="J535" s="6">
        <v>2</v>
      </c>
      <c r="K535" s="6">
        <v>0</v>
      </c>
    </row>
    <row r="536" spans="1:11" ht="76.5" x14ac:dyDescent="0.2">
      <c r="A536" s="11" t="s">
        <v>590</v>
      </c>
      <c r="B536" s="6" t="s">
        <v>1860</v>
      </c>
      <c r="C536" s="6" t="s">
        <v>4319</v>
      </c>
      <c r="D536" s="6" t="s">
        <v>2442</v>
      </c>
      <c r="E536" s="6" t="s">
        <v>646</v>
      </c>
      <c r="F536" s="6" t="s">
        <v>591</v>
      </c>
      <c r="G536" s="6" t="s">
        <v>2795</v>
      </c>
      <c r="H536" s="6" t="s">
        <v>2802</v>
      </c>
      <c r="I536" s="6">
        <v>4</v>
      </c>
      <c r="J536" s="6">
        <v>32</v>
      </c>
      <c r="K536" s="6">
        <v>0</v>
      </c>
    </row>
    <row r="537" spans="1:11" ht="38.25" x14ac:dyDescent="0.2">
      <c r="A537" s="11" t="s">
        <v>1555</v>
      </c>
      <c r="B537" s="6" t="s">
        <v>1689</v>
      </c>
      <c r="C537" s="6" t="s">
        <v>4322</v>
      </c>
      <c r="D537" s="6" t="s">
        <v>2228</v>
      </c>
      <c r="E537" s="6" t="s">
        <v>646</v>
      </c>
      <c r="F537" s="6" t="s">
        <v>550</v>
      </c>
      <c r="G537" s="6" t="s">
        <v>2702</v>
      </c>
      <c r="H537" s="6" t="s">
        <v>785</v>
      </c>
      <c r="I537" s="6">
        <v>4</v>
      </c>
      <c r="J537" s="6">
        <v>4</v>
      </c>
      <c r="K537" s="6">
        <v>0</v>
      </c>
    </row>
    <row r="538" spans="1:11" ht="25.5" x14ac:dyDescent="0.2">
      <c r="A538" s="11" t="s">
        <v>720</v>
      </c>
      <c r="B538" s="6" t="s">
        <v>933</v>
      </c>
      <c r="C538" s="6" t="s">
        <v>4208</v>
      </c>
      <c r="D538" s="6" t="s">
        <v>2402</v>
      </c>
      <c r="E538" s="6" t="s">
        <v>646</v>
      </c>
      <c r="F538" s="6" t="s">
        <v>591</v>
      </c>
      <c r="G538" s="6" t="s">
        <v>2786</v>
      </c>
      <c r="H538" s="6" t="s">
        <v>2391</v>
      </c>
      <c r="I538" s="6">
        <v>4</v>
      </c>
      <c r="J538" s="6">
        <v>24</v>
      </c>
      <c r="K538" s="6">
        <v>0</v>
      </c>
    </row>
    <row r="539" spans="1:11" x14ac:dyDescent="0.2">
      <c r="A539" s="11" t="s">
        <v>3909</v>
      </c>
      <c r="B539" s="6" t="s">
        <v>945</v>
      </c>
      <c r="C539" s="6" t="s">
        <v>4324</v>
      </c>
      <c r="D539" s="6" t="s">
        <v>3910</v>
      </c>
      <c r="E539" s="6" t="s">
        <v>646</v>
      </c>
      <c r="F539" s="6" t="s">
        <v>550</v>
      </c>
      <c r="G539" s="6" t="s">
        <v>3908</v>
      </c>
      <c r="H539" s="6" t="s">
        <v>785</v>
      </c>
      <c r="I539" s="6">
        <v>4</v>
      </c>
      <c r="J539" s="6">
        <v>5</v>
      </c>
      <c r="K539" s="6">
        <v>-1</v>
      </c>
    </row>
    <row r="540" spans="1:11" x14ac:dyDescent="0.2">
      <c r="A540" s="12" t="s">
        <v>765</v>
      </c>
      <c r="B540" s="6" t="s">
        <v>974</v>
      </c>
      <c r="C540" s="6" t="s">
        <v>4018</v>
      </c>
      <c r="D540" s="6" t="s">
        <v>1997</v>
      </c>
      <c r="E540" s="6" t="s">
        <v>646</v>
      </c>
      <c r="F540" s="6" t="s">
        <v>1130</v>
      </c>
      <c r="G540" s="6" t="s">
        <v>3969</v>
      </c>
      <c r="H540" s="6" t="s">
        <v>785</v>
      </c>
      <c r="I540" s="6">
        <v>4</v>
      </c>
      <c r="J540" s="6">
        <v>6</v>
      </c>
      <c r="K540" s="6">
        <v>0</v>
      </c>
    </row>
    <row r="541" spans="1:11" x14ac:dyDescent="0.2">
      <c r="A541" s="8" t="s">
        <v>1178</v>
      </c>
      <c r="B541" s="6" t="s">
        <v>1199</v>
      </c>
      <c r="C541" s="6" t="s">
        <v>1486</v>
      </c>
      <c r="D541" s="6" t="s">
        <v>2304</v>
      </c>
      <c r="E541" s="6" t="s">
        <v>646</v>
      </c>
      <c r="F541" s="6" t="s">
        <v>1179</v>
      </c>
      <c r="G541" s="6" t="s">
        <v>2305</v>
      </c>
      <c r="H541" s="6" t="s">
        <v>785</v>
      </c>
      <c r="I541" s="6">
        <v>4</v>
      </c>
      <c r="J541" s="6">
        <v>16</v>
      </c>
      <c r="K541" s="6">
        <v>0</v>
      </c>
    </row>
    <row r="542" spans="1:11" ht="25.5" x14ac:dyDescent="0.2">
      <c r="A542" s="12" t="s">
        <v>1560</v>
      </c>
      <c r="B542" s="6" t="s">
        <v>3195</v>
      </c>
      <c r="C542" s="6" t="s">
        <v>4322</v>
      </c>
      <c r="D542" s="6" t="s">
        <v>2234</v>
      </c>
      <c r="E542" s="6" t="s">
        <v>646</v>
      </c>
      <c r="F542" s="6" t="s">
        <v>1561</v>
      </c>
      <c r="G542" s="6" t="s">
        <v>3194</v>
      </c>
      <c r="H542" s="6" t="s">
        <v>785</v>
      </c>
      <c r="I542" s="6">
        <v>4</v>
      </c>
      <c r="J542" s="6">
        <v>5</v>
      </c>
      <c r="K542" s="6">
        <v>0</v>
      </c>
    </row>
    <row r="543" spans="1:11" ht="25.5" x14ac:dyDescent="0.2">
      <c r="A543" s="12" t="s">
        <v>4050</v>
      </c>
      <c r="B543" s="6" t="s">
        <v>4102</v>
      </c>
      <c r="C543" s="6" t="s">
        <v>4032</v>
      </c>
      <c r="D543" s="6" t="s">
        <v>4052</v>
      </c>
      <c r="E543" s="6" t="s">
        <v>646</v>
      </c>
      <c r="F543" s="6" t="s">
        <v>4051</v>
      </c>
      <c r="G543" s="6" t="s">
        <v>2231</v>
      </c>
      <c r="H543" s="6" t="s">
        <v>2521</v>
      </c>
      <c r="I543" s="6">
        <v>4</v>
      </c>
      <c r="J543" s="6">
        <v>3</v>
      </c>
      <c r="K543" s="6">
        <v>0</v>
      </c>
    </row>
    <row r="544" spans="1:11" ht="76.5" x14ac:dyDescent="0.2">
      <c r="A544" s="12" t="s">
        <v>655</v>
      </c>
      <c r="B544" s="6" t="s">
        <v>875</v>
      </c>
      <c r="C544" s="6" t="s">
        <v>4381</v>
      </c>
      <c r="D544" s="6" t="s">
        <v>2519</v>
      </c>
      <c r="E544" s="6" t="s">
        <v>646</v>
      </c>
      <c r="F544" s="6" t="s">
        <v>591</v>
      </c>
      <c r="G544" s="6" t="s">
        <v>2772</v>
      </c>
      <c r="H544" s="14" t="s">
        <v>2521</v>
      </c>
      <c r="I544" s="6">
        <v>4</v>
      </c>
      <c r="J544" s="6">
        <v>9</v>
      </c>
      <c r="K544" s="6">
        <v>0</v>
      </c>
    </row>
    <row r="545" spans="1:11" ht="38.25" x14ac:dyDescent="0.2">
      <c r="A545" s="11" t="s">
        <v>586</v>
      </c>
      <c r="B545" s="6" t="s">
        <v>1855</v>
      </c>
      <c r="C545" s="6" t="s">
        <v>4319</v>
      </c>
      <c r="D545" s="6" t="s">
        <v>2436</v>
      </c>
      <c r="E545" s="6" t="s">
        <v>646</v>
      </c>
      <c r="F545" s="6" t="s">
        <v>587</v>
      </c>
      <c r="G545" s="6" t="s">
        <v>2416</v>
      </c>
      <c r="H545" s="6" t="s">
        <v>2437</v>
      </c>
      <c r="I545" s="6">
        <v>4</v>
      </c>
      <c r="J545" s="6">
        <v>14</v>
      </c>
      <c r="K545" s="6">
        <v>0</v>
      </c>
    </row>
    <row r="546" spans="1:11" ht="25.5" x14ac:dyDescent="0.2">
      <c r="A546" s="6" t="s">
        <v>696</v>
      </c>
      <c r="B546" s="6" t="s">
        <v>910</v>
      </c>
      <c r="C546" s="6" t="s">
        <v>1205</v>
      </c>
      <c r="D546" s="6" t="s">
        <v>1993</v>
      </c>
      <c r="E546" s="6" t="s">
        <v>646</v>
      </c>
      <c r="F546" s="6" t="s">
        <v>694</v>
      </c>
      <c r="G546" s="6" t="s">
        <v>2331</v>
      </c>
      <c r="H546" s="6" t="s">
        <v>785</v>
      </c>
      <c r="I546" s="6">
        <v>4</v>
      </c>
      <c r="J546" s="6">
        <v>5</v>
      </c>
      <c r="K546" s="6">
        <v>0</v>
      </c>
    </row>
    <row r="547" spans="1:11" ht="25.5" x14ac:dyDescent="0.2">
      <c r="A547" s="11" t="s">
        <v>1805</v>
      </c>
      <c r="B547" s="6" t="s">
        <v>1874</v>
      </c>
      <c r="C547" s="6" t="s">
        <v>1745</v>
      </c>
      <c r="D547" s="6" t="s">
        <v>2463</v>
      </c>
      <c r="E547" s="6" t="s">
        <v>646</v>
      </c>
      <c r="F547" s="6" t="s">
        <v>550</v>
      </c>
      <c r="G547" s="6" t="s">
        <v>2441</v>
      </c>
      <c r="H547" s="6" t="s">
        <v>785</v>
      </c>
      <c r="I547" s="6">
        <v>4</v>
      </c>
      <c r="J547" s="6">
        <v>3</v>
      </c>
      <c r="K547" s="6">
        <v>0</v>
      </c>
    </row>
    <row r="548" spans="1:11" ht="25.5" x14ac:dyDescent="0.2">
      <c r="A548" s="8" t="s">
        <v>4334</v>
      </c>
      <c r="B548" s="6" t="s">
        <v>4348</v>
      </c>
      <c r="C548" s="6" t="s">
        <v>4385</v>
      </c>
      <c r="D548" s="6" t="s">
        <v>4336</v>
      </c>
      <c r="E548" s="6" t="s">
        <v>646</v>
      </c>
      <c r="F548" s="6" t="s">
        <v>4335</v>
      </c>
      <c r="G548" s="6" t="s">
        <v>2297</v>
      </c>
      <c r="H548" s="6" t="s">
        <v>2294</v>
      </c>
      <c r="I548" s="6">
        <v>4</v>
      </c>
      <c r="J548" s="6">
        <v>7</v>
      </c>
      <c r="K548" s="6">
        <v>0</v>
      </c>
    </row>
    <row r="549" spans="1:11" ht="63.75" x14ac:dyDescent="0.2">
      <c r="A549" s="11" t="s">
        <v>1769</v>
      </c>
      <c r="B549" s="6" t="s">
        <v>1842</v>
      </c>
      <c r="C549" s="6" t="s">
        <v>4380</v>
      </c>
      <c r="D549" s="6" t="s">
        <v>2422</v>
      </c>
      <c r="E549" s="6" t="s">
        <v>646</v>
      </c>
      <c r="F549" s="6" t="s">
        <v>587</v>
      </c>
      <c r="G549" s="6" t="s">
        <v>2788</v>
      </c>
      <c r="H549" s="6" t="s">
        <v>785</v>
      </c>
      <c r="I549" s="6">
        <v>4</v>
      </c>
      <c r="J549" s="6">
        <v>5</v>
      </c>
      <c r="K549" s="6">
        <v>0</v>
      </c>
    </row>
    <row r="550" spans="1:11" ht="25.5" x14ac:dyDescent="0.2">
      <c r="A550" s="11" t="s">
        <v>1055</v>
      </c>
      <c r="B550" s="6" t="s">
        <v>789</v>
      </c>
      <c r="C550" s="6" t="s">
        <v>560</v>
      </c>
      <c r="D550" s="6" t="s">
        <v>1974</v>
      </c>
      <c r="E550" s="6" t="s">
        <v>646</v>
      </c>
      <c r="F550" s="6" t="s">
        <v>1056</v>
      </c>
      <c r="G550" s="6" t="s">
        <v>1973</v>
      </c>
      <c r="H550" s="6" t="s">
        <v>2521</v>
      </c>
      <c r="I550" s="6">
        <v>4</v>
      </c>
      <c r="J550" s="6">
        <v>12</v>
      </c>
      <c r="K550" s="6">
        <v>0</v>
      </c>
    </row>
    <row r="551" spans="1:11" ht="76.5" x14ac:dyDescent="0.2">
      <c r="A551" s="7" t="s">
        <v>4339</v>
      </c>
      <c r="B551" s="6" t="s">
        <v>4353</v>
      </c>
      <c r="C551" s="6" t="s">
        <v>4324</v>
      </c>
      <c r="D551" s="6" t="s">
        <v>4341</v>
      </c>
      <c r="E551" s="6" t="s">
        <v>646</v>
      </c>
      <c r="F551" s="6" t="s">
        <v>4340</v>
      </c>
      <c r="G551" s="6" t="s">
        <v>4352</v>
      </c>
      <c r="H551" s="6" t="s">
        <v>785</v>
      </c>
      <c r="I551" s="6">
        <v>4</v>
      </c>
      <c r="J551" s="6">
        <v>11</v>
      </c>
      <c r="K551" s="6">
        <v>0</v>
      </c>
    </row>
    <row r="552" spans="1:11" ht="38.25" x14ac:dyDescent="0.2">
      <c r="A552" s="11" t="s">
        <v>3905</v>
      </c>
      <c r="B552" s="6" t="s">
        <v>3952</v>
      </c>
      <c r="C552" s="13" t="s">
        <v>4324</v>
      </c>
      <c r="D552" s="6" t="s">
        <v>3906</v>
      </c>
      <c r="E552" s="6" t="s">
        <v>646</v>
      </c>
      <c r="F552" s="6" t="s">
        <v>1065</v>
      </c>
      <c r="G552" s="6" t="s">
        <v>3902</v>
      </c>
      <c r="H552" s="14" t="s">
        <v>785</v>
      </c>
      <c r="I552" s="6">
        <v>4</v>
      </c>
      <c r="J552" s="6">
        <v>12</v>
      </c>
      <c r="K552" s="6">
        <v>0</v>
      </c>
    </row>
    <row r="553" spans="1:11" x14ac:dyDescent="0.2">
      <c r="A553" s="7" t="s">
        <v>3903</v>
      </c>
      <c r="B553" s="6" t="s">
        <v>3951</v>
      </c>
      <c r="C553" s="6" t="s">
        <v>4324</v>
      </c>
      <c r="D553" s="6" t="s">
        <v>3904</v>
      </c>
      <c r="E553" s="6" t="s">
        <v>646</v>
      </c>
      <c r="F553" s="6" t="s">
        <v>568</v>
      </c>
      <c r="G553" s="6" t="s">
        <v>3902</v>
      </c>
      <c r="H553" s="6" t="s">
        <v>785</v>
      </c>
      <c r="I553" s="6">
        <v>4</v>
      </c>
      <c r="J553" s="6">
        <v>7</v>
      </c>
      <c r="K553" s="6">
        <v>0</v>
      </c>
    </row>
    <row r="554" spans="1:11" ht="25.5" x14ac:dyDescent="0.2">
      <c r="A554" s="6" t="s">
        <v>1176</v>
      </c>
      <c r="B554" s="6" t="s">
        <v>1198</v>
      </c>
      <c r="C554" s="6" t="s">
        <v>1486</v>
      </c>
      <c r="D554" s="6" t="s">
        <v>2303</v>
      </c>
      <c r="E554" s="6" t="s">
        <v>646</v>
      </c>
      <c r="F554" s="6" t="s">
        <v>1177</v>
      </c>
      <c r="G554" s="6" t="s">
        <v>2272</v>
      </c>
      <c r="H554" s="6" t="s">
        <v>785</v>
      </c>
      <c r="I554" s="6">
        <v>4</v>
      </c>
      <c r="J554" s="6">
        <v>1</v>
      </c>
      <c r="K554" s="6">
        <v>0</v>
      </c>
    </row>
    <row r="555" spans="1:11" ht="114.75" x14ac:dyDescent="0.2">
      <c r="A555" s="11" t="s">
        <v>650</v>
      </c>
      <c r="B555" s="13" t="s">
        <v>869</v>
      </c>
      <c r="C555" s="6" t="s">
        <v>4381</v>
      </c>
      <c r="D555" s="6" t="s">
        <v>2512</v>
      </c>
      <c r="E555" s="6" t="s">
        <v>646</v>
      </c>
      <c r="F555" s="6" t="s">
        <v>550</v>
      </c>
      <c r="G555" s="6" t="s">
        <v>2971</v>
      </c>
      <c r="H555" s="6" t="s">
        <v>2848</v>
      </c>
      <c r="I555" s="6">
        <v>4</v>
      </c>
      <c r="J555" s="6">
        <v>44</v>
      </c>
      <c r="K555" s="6">
        <v>0</v>
      </c>
    </row>
    <row r="556" spans="1:11" ht="114.75" x14ac:dyDescent="0.2">
      <c r="A556" s="11" t="s">
        <v>3882</v>
      </c>
      <c r="B556" s="6" t="s">
        <v>3991</v>
      </c>
      <c r="C556" s="6" t="s">
        <v>4324</v>
      </c>
      <c r="D556" s="6" t="s">
        <v>3883</v>
      </c>
      <c r="E556" s="6" t="s">
        <v>553</v>
      </c>
      <c r="F556" s="6" t="s">
        <v>1135</v>
      </c>
      <c r="G556" s="6" t="s">
        <v>3949</v>
      </c>
      <c r="H556" s="6" t="s">
        <v>3995</v>
      </c>
      <c r="I556" s="6">
        <v>4</v>
      </c>
      <c r="J556" s="6">
        <v>38</v>
      </c>
      <c r="K556" s="6">
        <v>0</v>
      </c>
    </row>
    <row r="557" spans="1:11" ht="38.25" x14ac:dyDescent="0.2">
      <c r="A557" s="8" t="s">
        <v>579</v>
      </c>
      <c r="B557" s="6" t="s">
        <v>813</v>
      </c>
      <c r="C557" s="6" t="s">
        <v>1483</v>
      </c>
      <c r="D557" s="6" t="s">
        <v>2012</v>
      </c>
      <c r="E557" s="6" t="s">
        <v>646</v>
      </c>
      <c r="F557" s="6" t="s">
        <v>580</v>
      </c>
      <c r="G557" s="6" t="s">
        <v>2439</v>
      </c>
      <c r="H557" s="6" t="s">
        <v>2557</v>
      </c>
      <c r="I557" s="6">
        <v>4</v>
      </c>
      <c r="J557" s="6">
        <v>86</v>
      </c>
      <c r="K557" s="6">
        <v>0</v>
      </c>
    </row>
    <row r="558" spans="1:11" ht="38.25" x14ac:dyDescent="0.2">
      <c r="A558" s="11" t="s">
        <v>605</v>
      </c>
      <c r="B558" s="6" t="s">
        <v>1882</v>
      </c>
      <c r="C558" s="6" t="s">
        <v>2910</v>
      </c>
      <c r="D558" s="6" t="s">
        <v>2495</v>
      </c>
      <c r="E558" s="6" t="s">
        <v>646</v>
      </c>
      <c r="F558" s="6" t="s">
        <v>1065</v>
      </c>
      <c r="G558" s="6" t="s">
        <v>2836</v>
      </c>
      <c r="H558" s="6" t="s">
        <v>785</v>
      </c>
      <c r="I558" s="6">
        <v>4</v>
      </c>
      <c r="J558" s="6">
        <v>7</v>
      </c>
      <c r="K558" s="6">
        <v>0</v>
      </c>
    </row>
    <row r="559" spans="1:11" ht="25.5" x14ac:dyDescent="0.2">
      <c r="A559" s="11" t="s">
        <v>1818</v>
      </c>
      <c r="B559" s="14" t="s">
        <v>1883</v>
      </c>
      <c r="C559" s="6" t="s">
        <v>2910</v>
      </c>
      <c r="D559" s="6" t="s">
        <v>2496</v>
      </c>
      <c r="E559" s="6" t="s">
        <v>646</v>
      </c>
      <c r="F559" s="6" t="s">
        <v>1065</v>
      </c>
      <c r="G559" s="6" t="s">
        <v>2030</v>
      </c>
      <c r="H559" s="6" t="s">
        <v>785</v>
      </c>
      <c r="I559" s="6">
        <v>4</v>
      </c>
      <c r="J559" s="6">
        <v>10</v>
      </c>
      <c r="K559" s="6">
        <v>0</v>
      </c>
    </row>
    <row r="560" spans="1:11" ht="51" x14ac:dyDescent="0.2">
      <c r="A560" s="12" t="s">
        <v>3128</v>
      </c>
      <c r="B560" s="6" t="s">
        <v>3156</v>
      </c>
      <c r="C560" s="6" t="s">
        <v>4032</v>
      </c>
      <c r="D560" s="6" t="s">
        <v>3130</v>
      </c>
      <c r="E560" s="6" t="s">
        <v>646</v>
      </c>
      <c r="F560" s="6" t="s">
        <v>3129</v>
      </c>
      <c r="G560" s="6" t="s">
        <v>2523</v>
      </c>
      <c r="H560" s="6" t="s">
        <v>3174</v>
      </c>
      <c r="I560" s="6">
        <v>4</v>
      </c>
      <c r="J560" s="6">
        <v>3</v>
      </c>
      <c r="K560" s="6">
        <v>0</v>
      </c>
    </row>
    <row r="561" spans="1:11" ht="25.5" x14ac:dyDescent="0.2">
      <c r="A561" s="11" t="s">
        <v>1109</v>
      </c>
      <c r="B561" s="6" t="s">
        <v>1155</v>
      </c>
      <c r="C561" s="6" t="s">
        <v>1485</v>
      </c>
      <c r="D561" s="6" t="s">
        <v>2256</v>
      </c>
      <c r="E561" s="6" t="s">
        <v>646</v>
      </c>
      <c r="F561" s="6" t="s">
        <v>1110</v>
      </c>
      <c r="G561" s="6" t="s">
        <v>2004</v>
      </c>
      <c r="H561" s="6" t="s">
        <v>785</v>
      </c>
      <c r="I561" s="6">
        <v>4</v>
      </c>
      <c r="J561" s="6">
        <v>12</v>
      </c>
      <c r="K561" s="6">
        <v>0</v>
      </c>
    </row>
    <row r="562" spans="1:11" ht="51" x14ac:dyDescent="0.2">
      <c r="A562" s="11" t="s">
        <v>649</v>
      </c>
      <c r="B562" s="6" t="s">
        <v>868</v>
      </c>
      <c r="C562" s="6" t="s">
        <v>4381</v>
      </c>
      <c r="D562" s="6" t="s">
        <v>2511</v>
      </c>
      <c r="E562" s="6" t="s">
        <v>646</v>
      </c>
      <c r="F562" s="6" t="s">
        <v>550</v>
      </c>
      <c r="G562" s="6" t="s">
        <v>2457</v>
      </c>
      <c r="H562" s="6" t="s">
        <v>785</v>
      </c>
      <c r="I562" s="6">
        <v>4</v>
      </c>
      <c r="J562" s="6">
        <v>1</v>
      </c>
      <c r="K562" s="6">
        <v>0</v>
      </c>
    </row>
    <row r="563" spans="1:11" ht="25.5" x14ac:dyDescent="0.2">
      <c r="A563" s="11" t="s">
        <v>1057</v>
      </c>
      <c r="B563" s="6" t="s">
        <v>790</v>
      </c>
      <c r="C563" s="6" t="s">
        <v>560</v>
      </c>
      <c r="D563" s="6" t="s">
        <v>1975</v>
      </c>
      <c r="E563" s="6" t="s">
        <v>646</v>
      </c>
      <c r="F563" s="6" t="s">
        <v>563</v>
      </c>
      <c r="G563" s="6" t="s">
        <v>2539</v>
      </c>
      <c r="H563" s="6" t="s">
        <v>785</v>
      </c>
      <c r="I563" s="6">
        <v>4</v>
      </c>
      <c r="J563" s="6">
        <v>8</v>
      </c>
      <c r="K563" s="6">
        <v>0</v>
      </c>
    </row>
    <row r="564" spans="1:11" x14ac:dyDescent="0.2">
      <c r="A564" s="12" t="s">
        <v>3870</v>
      </c>
      <c r="B564" s="14" t="s">
        <v>3929</v>
      </c>
      <c r="C564" s="6" t="s">
        <v>4324</v>
      </c>
      <c r="D564" s="6" t="s">
        <v>3871</v>
      </c>
      <c r="E564" s="6" t="s">
        <v>646</v>
      </c>
      <c r="F564" s="6" t="s">
        <v>550</v>
      </c>
      <c r="G564" s="6" t="s">
        <v>3885</v>
      </c>
      <c r="H564" s="6" t="s">
        <v>785</v>
      </c>
      <c r="I564" s="6">
        <v>4</v>
      </c>
      <c r="J564" s="6">
        <v>1</v>
      </c>
      <c r="K564" s="6">
        <v>0</v>
      </c>
    </row>
    <row r="565" spans="1:11" ht="409.5" x14ac:dyDescent="0.2">
      <c r="A565" s="11" t="s">
        <v>773</v>
      </c>
      <c r="B565" s="13" t="s">
        <v>990</v>
      </c>
      <c r="C565" s="6" t="s">
        <v>4385</v>
      </c>
      <c r="D565" s="6" t="s">
        <v>2295</v>
      </c>
      <c r="E565" s="6" t="s">
        <v>646</v>
      </c>
      <c r="F565" s="6" t="s">
        <v>1150</v>
      </c>
      <c r="G565" s="6" t="s">
        <v>4419</v>
      </c>
      <c r="H565" s="6" t="s">
        <v>2294</v>
      </c>
      <c r="I565" s="6">
        <v>4</v>
      </c>
      <c r="J565" s="6">
        <v>7</v>
      </c>
      <c r="K565" s="6">
        <v>0</v>
      </c>
    </row>
    <row r="566" spans="1:11" ht="63.75" x14ac:dyDescent="0.2">
      <c r="A566" s="11" t="s">
        <v>1562</v>
      </c>
      <c r="B566" s="14" t="s">
        <v>1692</v>
      </c>
      <c r="C566" s="6" t="s">
        <v>4322</v>
      </c>
      <c r="D566" s="6" t="s">
        <v>2246</v>
      </c>
      <c r="E566" s="6" t="s">
        <v>646</v>
      </c>
      <c r="F566" s="6" t="s">
        <v>1101</v>
      </c>
      <c r="G566" s="6" t="s">
        <v>2714</v>
      </c>
      <c r="H566" s="6" t="s">
        <v>785</v>
      </c>
      <c r="I566" s="6">
        <v>4</v>
      </c>
      <c r="J566" s="6">
        <v>8</v>
      </c>
      <c r="K566" s="6">
        <v>0</v>
      </c>
    </row>
    <row r="567" spans="1:11" ht="76.5" x14ac:dyDescent="0.2">
      <c r="A567" s="7" t="s">
        <v>665</v>
      </c>
      <c r="B567" s="6" t="s">
        <v>885</v>
      </c>
      <c r="C567" s="6" t="s">
        <v>4170</v>
      </c>
      <c r="D567" s="6" t="s">
        <v>2410</v>
      </c>
      <c r="E567" s="6" t="s">
        <v>646</v>
      </c>
      <c r="F567" s="6" t="s">
        <v>666</v>
      </c>
      <c r="G567" s="6" t="s">
        <v>2777</v>
      </c>
      <c r="H567" s="6" t="s">
        <v>4095</v>
      </c>
      <c r="I567" s="6">
        <v>4</v>
      </c>
      <c r="J567" s="6">
        <v>57</v>
      </c>
      <c r="K567" s="6">
        <v>0</v>
      </c>
    </row>
    <row r="568" spans="1:11" ht="63.75" x14ac:dyDescent="0.2">
      <c r="A568" s="11" t="s">
        <v>4191</v>
      </c>
      <c r="B568" s="6" t="s">
        <v>4355</v>
      </c>
      <c r="C568" s="6" t="s">
        <v>4171</v>
      </c>
      <c r="D568" s="6" t="s">
        <v>4192</v>
      </c>
      <c r="E568" s="6" t="s">
        <v>646</v>
      </c>
      <c r="F568" s="6" t="s">
        <v>4342</v>
      </c>
      <c r="G568" s="6" t="s">
        <v>2004</v>
      </c>
      <c r="H568" s="6" t="s">
        <v>785</v>
      </c>
      <c r="I568" s="6">
        <v>4</v>
      </c>
      <c r="J568" s="6">
        <v>22</v>
      </c>
      <c r="K568" s="6">
        <v>0</v>
      </c>
    </row>
    <row r="569" spans="1:11" ht="127.5" x14ac:dyDescent="0.2">
      <c r="A569" s="11" t="s">
        <v>557</v>
      </c>
      <c r="B569" s="6" t="s">
        <v>783</v>
      </c>
      <c r="C569" s="6" t="s">
        <v>1925</v>
      </c>
      <c r="D569" s="6" t="s">
        <v>1962</v>
      </c>
      <c r="E569" s="6" t="s">
        <v>646</v>
      </c>
      <c r="F569" s="6" t="s">
        <v>550</v>
      </c>
      <c r="G569" s="6" t="s">
        <v>2526</v>
      </c>
      <c r="H569" s="6" t="s">
        <v>2529</v>
      </c>
      <c r="I569" s="6">
        <v>4</v>
      </c>
      <c r="J569" s="6">
        <v>29</v>
      </c>
      <c r="K569" s="6">
        <v>0</v>
      </c>
    </row>
    <row r="570" spans="1:11" ht="216.75" x14ac:dyDescent="0.2">
      <c r="A570" s="12" t="s">
        <v>1827</v>
      </c>
      <c r="B570" s="6" t="s">
        <v>4019</v>
      </c>
      <c r="C570" s="6" t="s">
        <v>1752</v>
      </c>
      <c r="D570" s="6" t="s">
        <v>2503</v>
      </c>
      <c r="E570" s="6" t="s">
        <v>646</v>
      </c>
      <c r="F570" s="6" t="s">
        <v>550</v>
      </c>
      <c r="G570" s="6" t="s">
        <v>4023</v>
      </c>
      <c r="H570" s="14" t="s">
        <v>2839</v>
      </c>
      <c r="I570" s="6">
        <v>4</v>
      </c>
      <c r="J570" s="6">
        <v>22</v>
      </c>
      <c r="K570" s="6">
        <v>0</v>
      </c>
    </row>
    <row r="571" spans="1:11" ht="38.25" x14ac:dyDescent="0.2">
      <c r="A571" s="12" t="s">
        <v>3878</v>
      </c>
      <c r="B571" s="6" t="s">
        <v>3933</v>
      </c>
      <c r="C571" s="6" t="s">
        <v>4324</v>
      </c>
      <c r="D571" s="6" t="s">
        <v>3879</v>
      </c>
      <c r="E571" s="6" t="s">
        <v>646</v>
      </c>
      <c r="F571" s="6" t="s">
        <v>550</v>
      </c>
      <c r="G571" s="6" t="s">
        <v>3948</v>
      </c>
      <c r="H571" s="6" t="s">
        <v>785</v>
      </c>
      <c r="I571" s="6">
        <v>4</v>
      </c>
      <c r="J571" s="6">
        <v>42</v>
      </c>
      <c r="K571" s="6">
        <v>0</v>
      </c>
    </row>
    <row r="572" spans="1:11" ht="76.5" x14ac:dyDescent="0.2">
      <c r="A572" s="11" t="s">
        <v>635</v>
      </c>
      <c r="B572" s="6" t="s">
        <v>853</v>
      </c>
      <c r="C572" s="13" t="s">
        <v>1739</v>
      </c>
      <c r="D572" s="6" t="s">
        <v>2024</v>
      </c>
      <c r="E572" s="6" t="s">
        <v>646</v>
      </c>
      <c r="F572" s="6" t="s">
        <v>636</v>
      </c>
      <c r="G572" s="6" t="s">
        <v>2801</v>
      </c>
      <c r="H572" s="6" t="s">
        <v>785</v>
      </c>
      <c r="I572" s="6">
        <v>5</v>
      </c>
      <c r="J572" s="6">
        <v>5</v>
      </c>
      <c r="K572" s="6">
        <v>0</v>
      </c>
    </row>
    <row r="573" spans="1:11" ht="165.75" x14ac:dyDescent="0.2">
      <c r="A573" s="11" t="s">
        <v>740</v>
      </c>
      <c r="B573" s="6" t="s">
        <v>1697</v>
      </c>
      <c r="C573" s="6" t="s">
        <v>4028</v>
      </c>
      <c r="D573" s="6" t="s">
        <v>2258</v>
      </c>
      <c r="E573" s="6" t="s">
        <v>646</v>
      </c>
      <c r="F573" s="6" t="s">
        <v>741</v>
      </c>
      <c r="G573" s="6" t="s">
        <v>2410</v>
      </c>
      <c r="H573" s="6" t="s">
        <v>4438</v>
      </c>
      <c r="I573" s="6">
        <v>5</v>
      </c>
      <c r="J573" s="6">
        <v>33</v>
      </c>
      <c r="K573" s="6">
        <v>0</v>
      </c>
    </row>
    <row r="574" spans="1:11" ht="140.25" x14ac:dyDescent="0.2">
      <c r="A574" s="11" t="s">
        <v>710</v>
      </c>
      <c r="B574" s="6" t="s">
        <v>925</v>
      </c>
      <c r="C574" s="13" t="s">
        <v>4208</v>
      </c>
      <c r="D574" s="6" t="s">
        <v>2391</v>
      </c>
      <c r="E574" s="6" t="s">
        <v>646</v>
      </c>
      <c r="F574" s="6" t="s">
        <v>591</v>
      </c>
      <c r="G574" s="6" t="s">
        <v>2973</v>
      </c>
      <c r="H574" s="6" t="s">
        <v>785</v>
      </c>
      <c r="I574" s="6">
        <v>5</v>
      </c>
      <c r="J574" s="6">
        <v>3</v>
      </c>
      <c r="K574" s="6">
        <v>0</v>
      </c>
    </row>
    <row r="575" spans="1:11" ht="191.25" x14ac:dyDescent="0.2">
      <c r="A575" s="7" t="s">
        <v>592</v>
      </c>
      <c r="B575" s="14" t="s">
        <v>820</v>
      </c>
      <c r="C575" s="6" t="s">
        <v>4319</v>
      </c>
      <c r="D575" s="6" t="s">
        <v>2443</v>
      </c>
      <c r="E575" s="6" t="s">
        <v>646</v>
      </c>
      <c r="F575" s="6" t="s">
        <v>550</v>
      </c>
      <c r="G575" s="6" t="s">
        <v>2954</v>
      </c>
      <c r="H575" s="6" t="s">
        <v>2803</v>
      </c>
      <c r="I575" s="6">
        <v>5</v>
      </c>
      <c r="J575" s="6">
        <v>70</v>
      </c>
      <c r="K575" s="6">
        <v>0</v>
      </c>
    </row>
    <row r="576" spans="1:11" ht="51" x14ac:dyDescent="0.2">
      <c r="A576" s="11" t="s">
        <v>1765</v>
      </c>
      <c r="B576" s="6" t="s">
        <v>1839</v>
      </c>
      <c r="C576" s="6" t="s">
        <v>1741</v>
      </c>
      <c r="D576" s="6" t="s">
        <v>2419</v>
      </c>
      <c r="E576" s="6" t="s">
        <v>646</v>
      </c>
      <c r="F576" s="6" t="s">
        <v>550</v>
      </c>
      <c r="G576" s="6" t="s">
        <v>2799</v>
      </c>
      <c r="H576" s="6" t="s">
        <v>785</v>
      </c>
      <c r="I576" s="6">
        <v>5</v>
      </c>
      <c r="J576" s="6">
        <v>15</v>
      </c>
      <c r="K576" s="6">
        <v>0</v>
      </c>
    </row>
    <row r="577" spans="1:11" ht="38.25" x14ac:dyDescent="0.2">
      <c r="A577" s="7" t="s">
        <v>1801</v>
      </c>
      <c r="B577" s="6" t="s">
        <v>1870</v>
      </c>
      <c r="C577" s="6" t="s">
        <v>1745</v>
      </c>
      <c r="D577" s="6" t="s">
        <v>2459</v>
      </c>
      <c r="E577" s="6" t="s">
        <v>646</v>
      </c>
      <c r="F577" s="6" t="s">
        <v>550</v>
      </c>
      <c r="G577" s="6" t="s">
        <v>2821</v>
      </c>
      <c r="H577" s="6" t="s">
        <v>2510</v>
      </c>
      <c r="I577" s="6">
        <v>5</v>
      </c>
      <c r="J577" s="6">
        <v>2</v>
      </c>
      <c r="K577" s="6">
        <v>0</v>
      </c>
    </row>
    <row r="578" spans="1:11" ht="38.25" x14ac:dyDescent="0.2">
      <c r="A578" s="6" t="s">
        <v>2927</v>
      </c>
      <c r="B578" s="6" t="s">
        <v>2974</v>
      </c>
      <c r="C578" s="6" t="s">
        <v>4208</v>
      </c>
      <c r="D578" s="6" t="s">
        <v>2928</v>
      </c>
      <c r="E578" s="6" t="s">
        <v>646</v>
      </c>
      <c r="F578" s="6" t="s">
        <v>3848</v>
      </c>
      <c r="G578" s="6" t="s">
        <v>3003</v>
      </c>
      <c r="H578" s="6" t="s">
        <v>785</v>
      </c>
      <c r="I578" s="6">
        <v>5</v>
      </c>
      <c r="J578" s="6">
        <v>11</v>
      </c>
      <c r="K578" s="6">
        <v>0</v>
      </c>
    </row>
    <row r="579" spans="1:11" ht="51" x14ac:dyDescent="0.2">
      <c r="A579" s="11" t="s">
        <v>715</v>
      </c>
      <c r="B579" s="6" t="s">
        <v>929</v>
      </c>
      <c r="C579" s="6" t="s">
        <v>4208</v>
      </c>
      <c r="D579" s="6" t="s">
        <v>2395</v>
      </c>
      <c r="E579" s="6" t="s">
        <v>646</v>
      </c>
      <c r="F579" s="6" t="s">
        <v>1115</v>
      </c>
      <c r="G579" s="6" t="s">
        <v>2972</v>
      </c>
      <c r="H579" s="6" t="s">
        <v>1988</v>
      </c>
      <c r="I579" s="6">
        <v>5</v>
      </c>
      <c r="J579" s="6">
        <v>8</v>
      </c>
      <c r="K579" s="6">
        <v>0</v>
      </c>
    </row>
    <row r="580" spans="1:11" ht="25.5" x14ac:dyDescent="0.2">
      <c r="A580" s="8" t="s">
        <v>1926</v>
      </c>
      <c r="B580" s="6" t="s">
        <v>1930</v>
      </c>
      <c r="C580" s="6" t="s">
        <v>4322</v>
      </c>
      <c r="D580" s="6" t="s">
        <v>2223</v>
      </c>
      <c r="E580" s="6" t="s">
        <v>646</v>
      </c>
      <c r="F580" s="6" t="s">
        <v>1065</v>
      </c>
      <c r="G580" s="6" t="s">
        <v>1963</v>
      </c>
      <c r="H580" s="6" t="s">
        <v>785</v>
      </c>
      <c r="I580" s="6">
        <v>5</v>
      </c>
      <c r="J580" s="6">
        <v>1</v>
      </c>
      <c r="K580" s="6">
        <v>0</v>
      </c>
    </row>
    <row r="581" spans="1:11" ht="344.25" x14ac:dyDescent="0.2">
      <c r="A581" s="9" t="s">
        <v>1563</v>
      </c>
      <c r="B581" s="6" t="s">
        <v>939</v>
      </c>
      <c r="C581" s="6" t="s">
        <v>4028</v>
      </c>
      <c r="D581" s="6" t="s">
        <v>2261</v>
      </c>
      <c r="E581" s="6" t="s">
        <v>646</v>
      </c>
      <c r="F581" s="6" t="s">
        <v>1942</v>
      </c>
      <c r="G581" s="6" t="s">
        <v>2843</v>
      </c>
      <c r="H581" s="6" t="s">
        <v>2720</v>
      </c>
      <c r="I581" s="6">
        <v>5</v>
      </c>
      <c r="J581" s="6">
        <v>61</v>
      </c>
      <c r="K581" s="6">
        <v>0</v>
      </c>
    </row>
    <row r="582" spans="1:11" ht="102" x14ac:dyDescent="0.2">
      <c r="A582" s="11" t="s">
        <v>607</v>
      </c>
      <c r="B582" s="6" t="s">
        <v>834</v>
      </c>
      <c r="C582" s="6" t="s">
        <v>1748</v>
      </c>
      <c r="D582" s="6" t="s">
        <v>2472</v>
      </c>
      <c r="E582" s="6" t="s">
        <v>646</v>
      </c>
      <c r="F582" s="6" t="s">
        <v>608</v>
      </c>
      <c r="G582" s="6" t="s">
        <v>2827</v>
      </c>
      <c r="H582" s="6" t="s">
        <v>2830</v>
      </c>
      <c r="I582" s="6">
        <v>5</v>
      </c>
      <c r="J582" s="6">
        <v>71</v>
      </c>
      <c r="K582" s="6">
        <v>0</v>
      </c>
    </row>
    <row r="583" spans="1:11" ht="76.5" x14ac:dyDescent="0.2">
      <c r="A583" s="11" t="s">
        <v>1097</v>
      </c>
      <c r="B583" s="14" t="s">
        <v>1154</v>
      </c>
      <c r="C583" s="6" t="s">
        <v>4322</v>
      </c>
      <c r="D583" s="6" t="s">
        <v>2240</v>
      </c>
      <c r="E583" s="6" t="s">
        <v>646</v>
      </c>
      <c r="F583" s="6" t="s">
        <v>550</v>
      </c>
      <c r="G583" s="6" t="s">
        <v>2503</v>
      </c>
      <c r="H583" s="6" t="s">
        <v>2708</v>
      </c>
      <c r="I583" s="6">
        <v>5</v>
      </c>
      <c r="J583" s="6">
        <v>22</v>
      </c>
      <c r="K583" s="6">
        <v>0</v>
      </c>
    </row>
    <row r="584" spans="1:11" ht="25.5" x14ac:dyDescent="0.2">
      <c r="A584" s="12" t="s">
        <v>663</v>
      </c>
      <c r="B584" s="6" t="s">
        <v>883</v>
      </c>
      <c r="C584" s="6" t="s">
        <v>4170</v>
      </c>
      <c r="D584" s="6" t="s">
        <v>2408</v>
      </c>
      <c r="E584" s="6" t="s">
        <v>646</v>
      </c>
      <c r="F584" s="6" t="s">
        <v>664</v>
      </c>
      <c r="G584" s="6" t="s">
        <v>2410</v>
      </c>
      <c r="H584" s="6" t="s">
        <v>785</v>
      </c>
      <c r="I584" s="6">
        <v>5</v>
      </c>
      <c r="J584" s="6">
        <v>14</v>
      </c>
      <c r="K584" s="6">
        <v>0</v>
      </c>
    </row>
    <row r="585" spans="1:11" ht="51" x14ac:dyDescent="0.2">
      <c r="A585" s="11" t="s">
        <v>1090</v>
      </c>
      <c r="B585" s="6" t="s">
        <v>871</v>
      </c>
      <c r="C585" s="6" t="s">
        <v>4381</v>
      </c>
      <c r="D585" s="6" t="s">
        <v>2514</v>
      </c>
      <c r="E585" s="6" t="s">
        <v>646</v>
      </c>
      <c r="F585" s="6" t="s">
        <v>651</v>
      </c>
      <c r="G585" s="6" t="s">
        <v>2512</v>
      </c>
      <c r="H585" s="6" t="s">
        <v>2851</v>
      </c>
      <c r="I585" s="6">
        <v>5</v>
      </c>
      <c r="J585" s="6">
        <v>4</v>
      </c>
      <c r="K585" s="6">
        <v>0</v>
      </c>
    </row>
    <row r="586" spans="1:11" ht="51" x14ac:dyDescent="0.2">
      <c r="A586" s="11" t="s">
        <v>1089</v>
      </c>
      <c r="B586" s="6" t="s">
        <v>870</v>
      </c>
      <c r="C586" s="6" t="s">
        <v>4381</v>
      </c>
      <c r="D586" s="6" t="s">
        <v>2513</v>
      </c>
      <c r="E586" s="6" t="s">
        <v>646</v>
      </c>
      <c r="F586" s="6" t="s">
        <v>1065</v>
      </c>
      <c r="G586" s="6" t="s">
        <v>2512</v>
      </c>
      <c r="H586" s="6" t="s">
        <v>2849</v>
      </c>
      <c r="I586" s="6">
        <v>5</v>
      </c>
      <c r="J586" s="6">
        <v>4</v>
      </c>
      <c r="K586" s="6">
        <v>0</v>
      </c>
    </row>
    <row r="587" spans="1:11" x14ac:dyDescent="0.2">
      <c r="A587" s="11" t="s">
        <v>755</v>
      </c>
      <c r="B587" s="14" t="s">
        <v>967</v>
      </c>
      <c r="C587" s="6" t="s">
        <v>4028</v>
      </c>
      <c r="D587" s="6" t="s">
        <v>2283</v>
      </c>
      <c r="E587" s="6" t="s">
        <v>646</v>
      </c>
      <c r="F587" s="6" t="s">
        <v>550</v>
      </c>
      <c r="G587" s="6" t="s">
        <v>2410</v>
      </c>
      <c r="H587" s="6" t="s">
        <v>785</v>
      </c>
      <c r="I587" s="6">
        <v>5</v>
      </c>
      <c r="J587" s="6">
        <v>5</v>
      </c>
      <c r="K587" s="6">
        <v>0</v>
      </c>
    </row>
    <row r="588" spans="1:11" ht="38.25" x14ac:dyDescent="0.2">
      <c r="A588" s="12" t="s">
        <v>3874</v>
      </c>
      <c r="B588" s="6" t="s">
        <v>3931</v>
      </c>
      <c r="C588" s="6" t="s">
        <v>4324</v>
      </c>
      <c r="D588" s="6" t="s">
        <v>3875</v>
      </c>
      <c r="E588" s="6" t="s">
        <v>646</v>
      </c>
      <c r="F588" s="6" t="s">
        <v>550</v>
      </c>
      <c r="G588" s="6" t="s">
        <v>3941</v>
      </c>
      <c r="H588" s="14" t="s">
        <v>785</v>
      </c>
      <c r="I588" s="6">
        <v>5</v>
      </c>
      <c r="J588" s="6">
        <v>4</v>
      </c>
      <c r="K588" s="6">
        <v>0</v>
      </c>
    </row>
    <row r="589" spans="1:11" ht="38.25" x14ac:dyDescent="0.2">
      <c r="A589" s="11" t="s">
        <v>1783</v>
      </c>
      <c r="B589" s="6" t="s">
        <v>1853</v>
      </c>
      <c r="C589" s="6" t="s">
        <v>4319</v>
      </c>
      <c r="D589" s="6" t="s">
        <v>2434</v>
      </c>
      <c r="E589" s="6" t="s">
        <v>646</v>
      </c>
      <c r="F589" s="6" t="s">
        <v>1784</v>
      </c>
      <c r="G589" s="6" t="s">
        <v>2820</v>
      </c>
      <c r="H589" s="6" t="s">
        <v>785</v>
      </c>
      <c r="I589" s="6">
        <v>5</v>
      </c>
      <c r="J589" s="6">
        <v>1</v>
      </c>
      <c r="K589" s="6">
        <v>0</v>
      </c>
    </row>
    <row r="590" spans="1:11" ht="38.25" x14ac:dyDescent="0.2">
      <c r="A590" s="7" t="s">
        <v>1085</v>
      </c>
      <c r="B590" s="6" t="s">
        <v>863</v>
      </c>
      <c r="C590" s="13" t="s">
        <v>1173</v>
      </c>
      <c r="D590" s="6" t="s">
        <v>1986</v>
      </c>
      <c r="E590" s="6" t="s">
        <v>646</v>
      </c>
      <c r="F590" s="6" t="s">
        <v>644</v>
      </c>
      <c r="G590" s="6" t="s">
        <v>2536</v>
      </c>
      <c r="H590" s="6" t="s">
        <v>785</v>
      </c>
      <c r="I590" s="6">
        <v>5</v>
      </c>
      <c r="J590" s="6">
        <v>7</v>
      </c>
      <c r="K590" s="6">
        <v>0</v>
      </c>
    </row>
    <row r="591" spans="1:11" ht="51" x14ac:dyDescent="0.2">
      <c r="A591" s="12" t="s">
        <v>1087</v>
      </c>
      <c r="B591" s="6" t="s">
        <v>3192</v>
      </c>
      <c r="C591" s="6" t="s">
        <v>3160</v>
      </c>
      <c r="D591" s="6" t="s">
        <v>1988</v>
      </c>
      <c r="E591" s="6" t="s">
        <v>646</v>
      </c>
      <c r="F591" s="6" t="s">
        <v>3009</v>
      </c>
      <c r="G591" s="6" t="s">
        <v>3010</v>
      </c>
      <c r="H591" s="6" t="s">
        <v>785</v>
      </c>
      <c r="I591" s="6">
        <v>6</v>
      </c>
      <c r="J591" s="6">
        <v>13</v>
      </c>
      <c r="K591" s="6">
        <v>0</v>
      </c>
    </row>
    <row r="592" spans="1:11" ht="38.25" x14ac:dyDescent="0.2">
      <c r="A592" s="11" t="s">
        <v>747</v>
      </c>
      <c r="B592" s="6" t="s">
        <v>955</v>
      </c>
      <c r="C592" s="6" t="s">
        <v>4028</v>
      </c>
      <c r="D592" s="6" t="s">
        <v>2269</v>
      </c>
      <c r="E592" s="6" t="s">
        <v>646</v>
      </c>
      <c r="F592" s="6" t="s">
        <v>550</v>
      </c>
      <c r="G592" s="6" t="s">
        <v>2944</v>
      </c>
      <c r="H592" s="6" t="s">
        <v>785</v>
      </c>
      <c r="I592" s="6">
        <v>6</v>
      </c>
      <c r="J592" s="6">
        <v>21</v>
      </c>
      <c r="K592" s="6">
        <v>0</v>
      </c>
    </row>
    <row r="593" spans="1:11" ht="51" x14ac:dyDescent="0.2">
      <c r="A593" s="11" t="s">
        <v>723</v>
      </c>
      <c r="B593" s="6" t="s">
        <v>937</v>
      </c>
      <c r="C593" s="6" t="s">
        <v>4321</v>
      </c>
      <c r="D593" s="6" t="s">
        <v>2343</v>
      </c>
      <c r="E593" s="6" t="s">
        <v>646</v>
      </c>
      <c r="F593" s="6" t="s">
        <v>550</v>
      </c>
      <c r="G593" s="6" t="s">
        <v>2932</v>
      </c>
      <c r="H593" s="6" t="s">
        <v>2765</v>
      </c>
      <c r="I593" s="6">
        <v>6</v>
      </c>
      <c r="J593" s="6">
        <v>9</v>
      </c>
      <c r="K593" s="6">
        <v>0</v>
      </c>
    </row>
    <row r="594" spans="1:11" ht="51" x14ac:dyDescent="0.2">
      <c r="A594" s="11" t="s">
        <v>1798</v>
      </c>
      <c r="B594" s="6" t="s">
        <v>1867</v>
      </c>
      <c r="C594" s="6" t="s">
        <v>4319</v>
      </c>
      <c r="D594" s="6" t="s">
        <v>2455</v>
      </c>
      <c r="E594" s="6" t="s">
        <v>646</v>
      </c>
      <c r="F594" s="6" t="s">
        <v>550</v>
      </c>
      <c r="G594" s="6" t="s">
        <v>2822</v>
      </c>
      <c r="H594" s="6" t="s">
        <v>2815</v>
      </c>
      <c r="I594" s="6">
        <v>6</v>
      </c>
      <c r="J594" s="6">
        <v>38</v>
      </c>
      <c r="K594" s="6">
        <v>0</v>
      </c>
    </row>
    <row r="595" spans="1:11" ht="76.5" x14ac:dyDescent="0.2">
      <c r="A595" s="11" t="s">
        <v>1091</v>
      </c>
      <c r="B595" s="6" t="s">
        <v>872</v>
      </c>
      <c r="C595" s="13" t="s">
        <v>4381</v>
      </c>
      <c r="D595" s="6" t="s">
        <v>2516</v>
      </c>
      <c r="E595" s="6" t="s">
        <v>646</v>
      </c>
      <c r="F595" s="6" t="s">
        <v>568</v>
      </c>
      <c r="G595" s="6" t="s">
        <v>2850</v>
      </c>
      <c r="H595" s="14" t="s">
        <v>2517</v>
      </c>
      <c r="I595" s="6">
        <v>6</v>
      </c>
      <c r="J595" s="6">
        <v>3</v>
      </c>
      <c r="K595" s="6">
        <v>0</v>
      </c>
    </row>
    <row r="596" spans="1:11" ht="25.5" x14ac:dyDescent="0.2">
      <c r="A596" s="11" t="s">
        <v>581</v>
      </c>
      <c r="B596" s="6" t="s">
        <v>814</v>
      </c>
      <c r="C596" s="6" t="s">
        <v>1483</v>
      </c>
      <c r="D596" s="6" t="s">
        <v>2013</v>
      </c>
      <c r="E596" s="6" t="s">
        <v>646</v>
      </c>
      <c r="F596" s="6" t="s">
        <v>582</v>
      </c>
      <c r="G596" s="6" t="s">
        <v>2829</v>
      </c>
      <c r="H596" s="6" t="s">
        <v>785</v>
      </c>
      <c r="I596" s="6">
        <v>6</v>
      </c>
      <c r="J596" s="6">
        <v>31</v>
      </c>
      <c r="K596" s="6">
        <v>0</v>
      </c>
    </row>
    <row r="597" spans="1:11" ht="38.25" x14ac:dyDescent="0.2">
      <c r="A597" s="9" t="s">
        <v>1088</v>
      </c>
      <c r="B597" s="6" t="s">
        <v>865</v>
      </c>
      <c r="C597" s="6" t="s">
        <v>4381</v>
      </c>
      <c r="D597" s="6" t="s">
        <v>2507</v>
      </c>
      <c r="E597" s="6" t="s">
        <v>646</v>
      </c>
      <c r="F597" s="6" t="s">
        <v>587</v>
      </c>
      <c r="G597" s="6" t="s">
        <v>2719</v>
      </c>
      <c r="H597" s="6" t="s">
        <v>785</v>
      </c>
      <c r="I597" s="6">
        <v>6</v>
      </c>
      <c r="J597" s="6">
        <v>1</v>
      </c>
      <c r="K597" s="6">
        <v>0</v>
      </c>
    </row>
    <row r="598" spans="1:11" ht="38.25" x14ac:dyDescent="0.2">
      <c r="A598" s="8" t="s">
        <v>602</v>
      </c>
      <c r="B598" s="6" t="s">
        <v>832</v>
      </c>
      <c r="C598" s="6" t="s">
        <v>2910</v>
      </c>
      <c r="D598" s="6" t="s">
        <v>2493</v>
      </c>
      <c r="E598" s="6" t="s">
        <v>646</v>
      </c>
      <c r="F598" s="6" t="s">
        <v>587</v>
      </c>
      <c r="G598" s="6" t="s">
        <v>3155</v>
      </c>
      <c r="H598" s="6" t="s">
        <v>2488</v>
      </c>
      <c r="I598" s="6">
        <v>6</v>
      </c>
      <c r="J598" s="6">
        <v>6</v>
      </c>
      <c r="K598" s="6">
        <v>0</v>
      </c>
    </row>
    <row r="599" spans="1:11" ht="51" x14ac:dyDescent="0.2">
      <c r="A599" s="7" t="s">
        <v>1573</v>
      </c>
      <c r="B599" s="6" t="s">
        <v>1709</v>
      </c>
      <c r="C599" s="6" t="s">
        <v>1486</v>
      </c>
      <c r="D599" s="6" t="s">
        <v>2301</v>
      </c>
      <c r="E599" s="6" t="s">
        <v>646</v>
      </c>
      <c r="F599" s="6" t="s">
        <v>587</v>
      </c>
      <c r="G599" s="6" t="s">
        <v>2840</v>
      </c>
      <c r="H599" s="6" t="s">
        <v>785</v>
      </c>
      <c r="I599" s="6">
        <v>6</v>
      </c>
      <c r="J599" s="6">
        <v>1</v>
      </c>
      <c r="K599" s="6">
        <v>0</v>
      </c>
    </row>
    <row r="600" spans="1:11" ht="25.5" x14ac:dyDescent="0.2">
      <c r="A600" s="6" t="s">
        <v>1764</v>
      </c>
      <c r="B600" s="6" t="s">
        <v>1838</v>
      </c>
      <c r="C600" s="6" t="s">
        <v>1741</v>
      </c>
      <c r="D600" s="6" t="s">
        <v>2418</v>
      </c>
      <c r="E600" s="6" t="s">
        <v>646</v>
      </c>
      <c r="F600" s="6" t="s">
        <v>587</v>
      </c>
      <c r="G600" s="6" t="s">
        <v>2443</v>
      </c>
      <c r="H600" s="6" t="s">
        <v>785</v>
      </c>
      <c r="I600" s="6">
        <v>6</v>
      </c>
      <c r="J600" s="6">
        <v>1</v>
      </c>
      <c r="K600" s="6">
        <v>0</v>
      </c>
    </row>
    <row r="601" spans="1:11" ht="25.5" x14ac:dyDescent="0.2">
      <c r="A601" s="11" t="s">
        <v>616</v>
      </c>
      <c r="B601" s="6" t="s">
        <v>840</v>
      </c>
      <c r="C601" s="6" t="s">
        <v>1748</v>
      </c>
      <c r="D601" s="6" t="s">
        <v>2478</v>
      </c>
      <c r="E601" s="6" t="s">
        <v>646</v>
      </c>
      <c r="F601" s="6" t="s">
        <v>617</v>
      </c>
      <c r="G601" s="6" t="s">
        <v>2472</v>
      </c>
      <c r="H601" s="6" t="s">
        <v>2832</v>
      </c>
      <c r="I601" s="6">
        <v>6</v>
      </c>
      <c r="J601" s="6">
        <v>17</v>
      </c>
      <c r="K601" s="6">
        <v>0</v>
      </c>
    </row>
    <row r="602" spans="1:11" ht="63.75" x14ac:dyDescent="0.2">
      <c r="A602" s="12" t="s">
        <v>729</v>
      </c>
      <c r="B602" s="6" t="s">
        <v>943</v>
      </c>
      <c r="C602" s="6" t="s">
        <v>4321</v>
      </c>
      <c r="D602" s="6" t="s">
        <v>2351</v>
      </c>
      <c r="E602" s="6" t="s">
        <v>646</v>
      </c>
      <c r="F602" s="6" t="s">
        <v>4038</v>
      </c>
      <c r="G602" s="6" t="s">
        <v>2258</v>
      </c>
      <c r="H602" s="6" t="s">
        <v>4343</v>
      </c>
      <c r="I602" s="6">
        <v>6</v>
      </c>
      <c r="J602" s="6">
        <v>20</v>
      </c>
      <c r="K602" s="6">
        <v>0</v>
      </c>
    </row>
    <row r="603" spans="1:11" ht="38.25" x14ac:dyDescent="0.2">
      <c r="A603" s="11" t="s">
        <v>612</v>
      </c>
      <c r="B603" s="6" t="s">
        <v>837</v>
      </c>
      <c r="C603" s="6" t="s">
        <v>1748</v>
      </c>
      <c r="D603" s="6" t="s">
        <v>2475</v>
      </c>
      <c r="E603" s="6" t="s">
        <v>646</v>
      </c>
      <c r="F603" s="6" t="s">
        <v>613</v>
      </c>
      <c r="G603" s="6" t="s">
        <v>2472</v>
      </c>
      <c r="H603" s="6" t="s">
        <v>785</v>
      </c>
      <c r="I603" s="6">
        <v>6</v>
      </c>
      <c r="J603" s="6">
        <v>6</v>
      </c>
      <c r="K603" s="6">
        <v>0</v>
      </c>
    </row>
    <row r="604" spans="1:11" ht="38.25" x14ac:dyDescent="0.2">
      <c r="A604" s="12" t="s">
        <v>610</v>
      </c>
      <c r="B604" s="6" t="s">
        <v>836</v>
      </c>
      <c r="C604" s="6" t="s">
        <v>1748</v>
      </c>
      <c r="D604" s="6" t="s">
        <v>2474</v>
      </c>
      <c r="E604" s="6" t="s">
        <v>646</v>
      </c>
      <c r="F604" s="6" t="s">
        <v>611</v>
      </c>
      <c r="G604" s="6" t="s">
        <v>2472</v>
      </c>
      <c r="H604" s="6" t="s">
        <v>785</v>
      </c>
      <c r="I604" s="6">
        <v>6</v>
      </c>
      <c r="J604" s="6">
        <v>2</v>
      </c>
      <c r="K604" s="6">
        <v>0</v>
      </c>
    </row>
    <row r="605" spans="1:11" ht="38.25" x14ac:dyDescent="0.2">
      <c r="A605" s="11" t="s">
        <v>615</v>
      </c>
      <c r="B605" s="6" t="s">
        <v>839</v>
      </c>
      <c r="C605" s="6" t="s">
        <v>1748</v>
      </c>
      <c r="D605" s="6" t="s">
        <v>2477</v>
      </c>
      <c r="E605" s="6" t="s">
        <v>646</v>
      </c>
      <c r="F605" s="6" t="s">
        <v>613</v>
      </c>
      <c r="G605" s="6" t="s">
        <v>2472</v>
      </c>
      <c r="H605" s="6" t="s">
        <v>785</v>
      </c>
      <c r="I605" s="6">
        <v>6</v>
      </c>
      <c r="J605" s="6">
        <v>6</v>
      </c>
      <c r="K605" s="6">
        <v>0</v>
      </c>
    </row>
    <row r="606" spans="1:11" ht="63.75" x14ac:dyDescent="0.2">
      <c r="A606" s="11" t="s">
        <v>725</v>
      </c>
      <c r="B606" s="6" t="s">
        <v>1720</v>
      </c>
      <c r="C606" s="6" t="s">
        <v>4321</v>
      </c>
      <c r="D606" s="6" t="s">
        <v>2347</v>
      </c>
      <c r="E606" s="6" t="s">
        <v>646</v>
      </c>
      <c r="F606" s="6" t="s">
        <v>4038</v>
      </c>
      <c r="G606" s="6" t="s">
        <v>2845</v>
      </c>
      <c r="H606" s="6" t="s">
        <v>2251</v>
      </c>
      <c r="I606" s="6">
        <v>6</v>
      </c>
      <c r="J606" s="6">
        <v>10</v>
      </c>
      <c r="K606" s="6">
        <v>0</v>
      </c>
    </row>
    <row r="607" spans="1:11" ht="25.5" x14ac:dyDescent="0.2">
      <c r="A607" s="6" t="s">
        <v>1552</v>
      </c>
      <c r="B607" s="6" t="s">
        <v>1686</v>
      </c>
      <c r="C607" s="6" t="s">
        <v>2909</v>
      </c>
      <c r="D607" s="6" t="s">
        <v>2218</v>
      </c>
      <c r="E607" s="6" t="s">
        <v>646</v>
      </c>
      <c r="F607" s="6" t="s">
        <v>550</v>
      </c>
      <c r="G607" s="6" t="s">
        <v>2261</v>
      </c>
      <c r="H607" s="6" t="s">
        <v>2407</v>
      </c>
      <c r="I607" s="6">
        <v>6</v>
      </c>
      <c r="J607" s="6">
        <v>36</v>
      </c>
      <c r="K607" s="6">
        <v>0</v>
      </c>
    </row>
    <row r="608" spans="1:11" ht="51" x14ac:dyDescent="0.2">
      <c r="A608" s="11" t="s">
        <v>648</v>
      </c>
      <c r="B608" s="6" t="s">
        <v>867</v>
      </c>
      <c r="C608" s="6" t="s">
        <v>4381</v>
      </c>
      <c r="D608" s="6" t="s">
        <v>2510</v>
      </c>
      <c r="E608" s="6" t="s">
        <v>646</v>
      </c>
      <c r="F608" s="6" t="s">
        <v>550</v>
      </c>
      <c r="G608" s="6" t="s">
        <v>2946</v>
      </c>
      <c r="H608" s="6" t="s">
        <v>785</v>
      </c>
      <c r="I608" s="6">
        <v>6</v>
      </c>
      <c r="J608" s="6">
        <v>1</v>
      </c>
      <c r="K608" s="6">
        <v>0</v>
      </c>
    </row>
    <row r="609" spans="1:11" ht="102" x14ac:dyDescent="0.2">
      <c r="A609" s="11" t="s">
        <v>647</v>
      </c>
      <c r="B609" s="14" t="s">
        <v>866</v>
      </c>
      <c r="C609" s="6" t="s">
        <v>4381</v>
      </c>
      <c r="D609" s="6" t="s">
        <v>2509</v>
      </c>
      <c r="E609" s="6" t="s">
        <v>646</v>
      </c>
      <c r="F609" s="6" t="s">
        <v>550</v>
      </c>
      <c r="G609" s="6" t="s">
        <v>3940</v>
      </c>
      <c r="H609" s="6" t="s">
        <v>3143</v>
      </c>
      <c r="I609" s="6">
        <v>6</v>
      </c>
      <c r="J609" s="6">
        <v>30</v>
      </c>
      <c r="K609" s="6">
        <v>0</v>
      </c>
    </row>
    <row r="610" spans="1:11" x14ac:dyDescent="0.2">
      <c r="A610" s="7" t="s">
        <v>1585</v>
      </c>
      <c r="B610" s="6" t="s">
        <v>1719</v>
      </c>
      <c r="C610" s="6" t="s">
        <v>4321</v>
      </c>
      <c r="D610" s="6" t="s">
        <v>2345</v>
      </c>
      <c r="E610" s="6" t="s">
        <v>646</v>
      </c>
      <c r="F610" s="6" t="s">
        <v>568</v>
      </c>
      <c r="G610" s="6" t="s">
        <v>2261</v>
      </c>
      <c r="H610" s="6" t="s">
        <v>785</v>
      </c>
      <c r="I610" s="6">
        <v>6</v>
      </c>
      <c r="J610" s="6">
        <v>2</v>
      </c>
      <c r="K610" s="6">
        <v>0</v>
      </c>
    </row>
    <row r="611" spans="1:11" ht="89.25" x14ac:dyDescent="0.2">
      <c r="A611" s="8" t="s">
        <v>1564</v>
      </c>
      <c r="B611" s="6" t="s">
        <v>1699</v>
      </c>
      <c r="C611" s="6" t="s">
        <v>4028</v>
      </c>
      <c r="D611" s="6" t="s">
        <v>2263</v>
      </c>
      <c r="E611" s="6" t="s">
        <v>646</v>
      </c>
      <c r="F611" s="6" t="s">
        <v>1942</v>
      </c>
      <c r="G611" s="6" t="s">
        <v>2261</v>
      </c>
      <c r="H611" s="6" t="s">
        <v>3140</v>
      </c>
      <c r="I611" s="6">
        <v>6</v>
      </c>
      <c r="J611" s="6">
        <v>30</v>
      </c>
      <c r="K611" s="6">
        <v>0</v>
      </c>
    </row>
    <row r="612" spans="1:11" ht="25.5" x14ac:dyDescent="0.2">
      <c r="A612" s="8" t="s">
        <v>4077</v>
      </c>
      <c r="B612" s="14" t="s">
        <v>4117</v>
      </c>
      <c r="C612" s="13" t="s">
        <v>4387</v>
      </c>
      <c r="D612" s="6" t="s">
        <v>4078</v>
      </c>
      <c r="E612" s="6" t="s">
        <v>646</v>
      </c>
      <c r="F612" s="6" t="s">
        <v>4070</v>
      </c>
      <c r="G612" s="6" t="s">
        <v>2258</v>
      </c>
      <c r="H612" s="6" t="s">
        <v>2029</v>
      </c>
      <c r="I612" s="6">
        <v>6</v>
      </c>
      <c r="J612" s="6">
        <v>17</v>
      </c>
      <c r="K612" s="6">
        <v>0</v>
      </c>
    </row>
    <row r="613" spans="1:11" ht="38.25" x14ac:dyDescent="0.2">
      <c r="A613" s="7" t="s">
        <v>739</v>
      </c>
      <c r="B613" s="6" t="s">
        <v>951</v>
      </c>
      <c r="C613" s="6" t="s">
        <v>4028</v>
      </c>
      <c r="D613" s="6" t="s">
        <v>2257</v>
      </c>
      <c r="E613" s="6" t="s">
        <v>646</v>
      </c>
      <c r="F613" s="6" t="s">
        <v>4038</v>
      </c>
      <c r="G613" s="6" t="s">
        <v>2263</v>
      </c>
      <c r="H613" s="6" t="s">
        <v>2716</v>
      </c>
      <c r="I613" s="6">
        <v>7</v>
      </c>
      <c r="J613" s="6">
        <v>9</v>
      </c>
      <c r="K613" s="6">
        <v>0</v>
      </c>
    </row>
    <row r="614" spans="1:11" ht="102" x14ac:dyDescent="0.2">
      <c r="A614" s="8" t="s">
        <v>1208</v>
      </c>
      <c r="B614" s="6" t="s">
        <v>980</v>
      </c>
      <c r="C614" s="6" t="s">
        <v>4032</v>
      </c>
      <c r="D614" s="6" t="s">
        <v>2372</v>
      </c>
      <c r="E614" s="6" t="s">
        <v>646</v>
      </c>
      <c r="F614" s="6" t="s">
        <v>1138</v>
      </c>
      <c r="G614" s="6" t="s">
        <v>3943</v>
      </c>
      <c r="H614" s="6" t="s">
        <v>2521</v>
      </c>
      <c r="I614" s="6">
        <v>7</v>
      </c>
      <c r="J614" s="6">
        <v>8</v>
      </c>
      <c r="K614" s="6">
        <v>0</v>
      </c>
    </row>
    <row r="615" spans="1:11" ht="25.5" x14ac:dyDescent="0.2">
      <c r="A615" s="11" t="s">
        <v>708</v>
      </c>
      <c r="B615" s="6" t="s">
        <v>923</v>
      </c>
      <c r="C615" s="6" t="s">
        <v>4208</v>
      </c>
      <c r="D615" s="6" t="s">
        <v>2389</v>
      </c>
      <c r="E615" s="6" t="s">
        <v>646</v>
      </c>
      <c r="F615" s="6" t="s">
        <v>1111</v>
      </c>
      <c r="G615" s="6" t="s">
        <v>2846</v>
      </c>
      <c r="H615" s="6" t="s">
        <v>785</v>
      </c>
      <c r="I615" s="6">
        <v>7</v>
      </c>
      <c r="J615" s="6">
        <v>5</v>
      </c>
      <c r="K615" s="6">
        <v>0</v>
      </c>
    </row>
    <row r="616" spans="1:11" ht="25.5" x14ac:dyDescent="0.2">
      <c r="A616" s="11" t="s">
        <v>702</v>
      </c>
      <c r="B616" s="6" t="s">
        <v>915</v>
      </c>
      <c r="C616" s="6" t="s">
        <v>2912</v>
      </c>
      <c r="D616" s="6" t="s">
        <v>2251</v>
      </c>
      <c r="E616" s="6" t="s">
        <v>646</v>
      </c>
      <c r="F616" s="6" t="s">
        <v>703</v>
      </c>
      <c r="G616" s="6" t="s">
        <v>2767</v>
      </c>
      <c r="H616" s="6" t="s">
        <v>785</v>
      </c>
      <c r="I616" s="6">
        <v>7</v>
      </c>
      <c r="J616" s="6">
        <v>4</v>
      </c>
      <c r="K616" s="6">
        <v>0</v>
      </c>
    </row>
    <row r="617" spans="1:11" ht="25.5" x14ac:dyDescent="0.2">
      <c r="A617" s="8" t="s">
        <v>726</v>
      </c>
      <c r="B617" s="6" t="s">
        <v>940</v>
      </c>
      <c r="C617" s="6" t="s">
        <v>4321</v>
      </c>
      <c r="D617" s="6" t="s">
        <v>2348</v>
      </c>
      <c r="E617" s="6" t="s">
        <v>646</v>
      </c>
      <c r="F617" s="6" t="s">
        <v>1118</v>
      </c>
      <c r="G617" s="6" t="s">
        <v>2351</v>
      </c>
      <c r="H617" s="6" t="s">
        <v>2349</v>
      </c>
      <c r="I617" s="6">
        <v>7</v>
      </c>
      <c r="J617" s="6">
        <v>12</v>
      </c>
      <c r="K617" s="6">
        <v>0</v>
      </c>
    </row>
    <row r="618" spans="1:11" ht="89.25" x14ac:dyDescent="0.2">
      <c r="A618" s="11" t="s">
        <v>1183</v>
      </c>
      <c r="B618" s="6" t="s">
        <v>1200</v>
      </c>
      <c r="C618" s="6" t="s">
        <v>1486</v>
      </c>
      <c r="D618" s="6" t="s">
        <v>2307</v>
      </c>
      <c r="E618" s="6" t="s">
        <v>646</v>
      </c>
      <c r="F618" s="6" t="s">
        <v>1184</v>
      </c>
      <c r="G618" s="6" t="s">
        <v>2899</v>
      </c>
      <c r="H618" s="6" t="s">
        <v>2308</v>
      </c>
      <c r="I618" s="6">
        <v>7</v>
      </c>
      <c r="J618" s="6">
        <v>1</v>
      </c>
      <c r="K618" s="6">
        <v>0</v>
      </c>
    </row>
    <row r="619" spans="1:11" ht="25.5" x14ac:dyDescent="0.2">
      <c r="A619" s="11" t="s">
        <v>625</v>
      </c>
      <c r="B619" s="6" t="s">
        <v>846</v>
      </c>
      <c r="C619" s="6" t="s">
        <v>1748</v>
      </c>
      <c r="D619" s="6" t="s">
        <v>2484</v>
      </c>
      <c r="E619" s="6" t="s">
        <v>646</v>
      </c>
      <c r="F619" s="6" t="s">
        <v>626</v>
      </c>
      <c r="G619" s="6" t="s">
        <v>2831</v>
      </c>
      <c r="H619" s="6" t="s">
        <v>2835</v>
      </c>
      <c r="I619" s="6">
        <v>7</v>
      </c>
      <c r="J619" s="6">
        <v>14</v>
      </c>
      <c r="K619" s="6">
        <v>0</v>
      </c>
    </row>
    <row r="620" spans="1:11" ht="127.5" x14ac:dyDescent="0.2">
      <c r="A620" s="11" t="s">
        <v>772</v>
      </c>
      <c r="B620" s="6" t="s">
        <v>4417</v>
      </c>
      <c r="C620" s="6" t="s">
        <v>4385</v>
      </c>
      <c r="D620" s="6" t="s">
        <v>2294</v>
      </c>
      <c r="E620" s="6" t="s">
        <v>646</v>
      </c>
      <c r="F620" s="6" t="s">
        <v>1149</v>
      </c>
      <c r="G620" s="6" t="s">
        <v>4349</v>
      </c>
      <c r="H620" s="6" t="s">
        <v>2736</v>
      </c>
      <c r="I620" s="6">
        <v>7</v>
      </c>
      <c r="J620" s="6">
        <v>7</v>
      </c>
      <c r="K620" s="6">
        <v>0</v>
      </c>
    </row>
    <row r="621" spans="1:11" ht="38.25" x14ac:dyDescent="0.2">
      <c r="A621" s="6" t="s">
        <v>570</v>
      </c>
      <c r="B621" s="6" t="s">
        <v>1906</v>
      </c>
      <c r="C621" s="6" t="s">
        <v>4169</v>
      </c>
      <c r="D621" s="6" t="s">
        <v>2008</v>
      </c>
      <c r="E621" s="6" t="s">
        <v>646</v>
      </c>
      <c r="F621" s="6" t="s">
        <v>550</v>
      </c>
      <c r="G621" s="6" t="s">
        <v>2509</v>
      </c>
      <c r="H621" s="6" t="s">
        <v>2554</v>
      </c>
      <c r="I621" s="6">
        <v>7</v>
      </c>
      <c r="J621" s="6">
        <v>4</v>
      </c>
      <c r="K621" s="6">
        <v>0</v>
      </c>
    </row>
    <row r="622" spans="1:11" ht="89.25" x14ac:dyDescent="0.2">
      <c r="A622" s="12" t="s">
        <v>640</v>
      </c>
      <c r="B622" s="6" t="s">
        <v>858</v>
      </c>
      <c r="C622" s="6" t="s">
        <v>1739</v>
      </c>
      <c r="D622" s="6" t="s">
        <v>2029</v>
      </c>
      <c r="E622" s="6" t="s">
        <v>646</v>
      </c>
      <c r="F622" s="6" t="s">
        <v>1081</v>
      </c>
      <c r="G622" s="6" t="s">
        <v>4118</v>
      </c>
      <c r="H622" s="6" t="s">
        <v>785</v>
      </c>
      <c r="I622" s="6">
        <v>7</v>
      </c>
      <c r="J622" s="6">
        <v>7</v>
      </c>
      <c r="K622" s="6">
        <v>0</v>
      </c>
    </row>
    <row r="623" spans="1:11" ht="51" x14ac:dyDescent="0.2">
      <c r="A623" s="11" t="s">
        <v>730</v>
      </c>
      <c r="B623" s="6" t="s">
        <v>944</v>
      </c>
      <c r="C623" s="6" t="s">
        <v>4321</v>
      </c>
      <c r="D623" s="6" t="s">
        <v>2352</v>
      </c>
      <c r="E623" s="6" t="s">
        <v>646</v>
      </c>
      <c r="F623" s="6" t="s">
        <v>731</v>
      </c>
      <c r="G623" s="6" t="s">
        <v>2351</v>
      </c>
      <c r="H623" s="6" t="s">
        <v>785</v>
      </c>
      <c r="I623" s="6">
        <v>7</v>
      </c>
      <c r="J623" s="6">
        <v>22</v>
      </c>
      <c r="K623" s="6">
        <v>0</v>
      </c>
    </row>
    <row r="624" spans="1:11" ht="51" x14ac:dyDescent="0.2">
      <c r="A624" s="8" t="s">
        <v>620</v>
      </c>
      <c r="B624" s="6" t="s">
        <v>843</v>
      </c>
      <c r="C624" s="6" t="s">
        <v>1748</v>
      </c>
      <c r="D624" s="6" t="s">
        <v>2481</v>
      </c>
      <c r="E624" s="6" t="s">
        <v>646</v>
      </c>
      <c r="F624" s="6" t="s">
        <v>621</v>
      </c>
      <c r="G624" s="6" t="s">
        <v>2831</v>
      </c>
      <c r="H624" s="6" t="s">
        <v>2833</v>
      </c>
      <c r="I624" s="6">
        <v>7</v>
      </c>
      <c r="J624" s="6">
        <v>14</v>
      </c>
      <c r="K624" s="6">
        <v>0</v>
      </c>
    </row>
    <row r="625" spans="1:11" ht="76.5" x14ac:dyDescent="0.2">
      <c r="A625" s="12" t="s">
        <v>1814</v>
      </c>
      <c r="B625" s="14" t="s">
        <v>1879</v>
      </c>
      <c r="C625" s="6" t="s">
        <v>2910</v>
      </c>
      <c r="D625" s="6" t="s">
        <v>2488</v>
      </c>
      <c r="E625" s="6" t="s">
        <v>646</v>
      </c>
      <c r="F625" s="6" t="s">
        <v>550</v>
      </c>
      <c r="G625" s="6" t="s">
        <v>2837</v>
      </c>
      <c r="H625" s="6" t="s">
        <v>2489</v>
      </c>
      <c r="I625" s="6">
        <v>7</v>
      </c>
      <c r="J625" s="6">
        <v>30</v>
      </c>
      <c r="K625" s="6">
        <v>0</v>
      </c>
    </row>
    <row r="626" spans="1:11" ht="229.5" x14ac:dyDescent="0.2">
      <c r="A626" s="6" t="s">
        <v>1791</v>
      </c>
      <c r="B626" s="6" t="s">
        <v>1862</v>
      </c>
      <c r="C626" s="6" t="s">
        <v>4319</v>
      </c>
      <c r="D626" s="6" t="s">
        <v>2445</v>
      </c>
      <c r="E626" s="6" t="s">
        <v>646</v>
      </c>
      <c r="F626" s="6" t="s">
        <v>550</v>
      </c>
      <c r="G626" s="6" t="s">
        <v>2955</v>
      </c>
      <c r="H626" s="6" t="s">
        <v>2806</v>
      </c>
      <c r="I626" s="6">
        <v>7</v>
      </c>
      <c r="J626" s="6">
        <v>5</v>
      </c>
      <c r="K626" s="6">
        <v>0</v>
      </c>
    </row>
    <row r="627" spans="1:11" ht="25.5" x14ac:dyDescent="0.2">
      <c r="A627" s="10" t="s">
        <v>3112</v>
      </c>
      <c r="B627" s="6" t="s">
        <v>3141</v>
      </c>
      <c r="C627" s="13" t="s">
        <v>4381</v>
      </c>
      <c r="D627" s="6" t="s">
        <v>3113</v>
      </c>
      <c r="E627" s="6" t="s">
        <v>646</v>
      </c>
      <c r="F627" s="6" t="s">
        <v>550</v>
      </c>
      <c r="G627" s="6" t="s">
        <v>3142</v>
      </c>
      <c r="H627" s="6" t="s">
        <v>785</v>
      </c>
      <c r="I627" s="6">
        <v>7</v>
      </c>
      <c r="J627" s="6">
        <v>10</v>
      </c>
      <c r="K627" s="6">
        <v>0</v>
      </c>
    </row>
    <row r="628" spans="1:11" ht="38.25" x14ac:dyDescent="0.2">
      <c r="A628" s="11" t="s">
        <v>653</v>
      </c>
      <c r="B628" s="6" t="s">
        <v>873</v>
      </c>
      <c r="C628" s="13" t="s">
        <v>4381</v>
      </c>
      <c r="D628" s="6" t="s">
        <v>2517</v>
      </c>
      <c r="E628" s="6" t="s">
        <v>646</v>
      </c>
      <c r="F628" s="6" t="s">
        <v>1092</v>
      </c>
      <c r="G628" s="6" t="s">
        <v>2852</v>
      </c>
      <c r="H628" s="6" t="s">
        <v>2515</v>
      </c>
      <c r="I628" s="6">
        <v>7</v>
      </c>
      <c r="J628" s="6">
        <v>8</v>
      </c>
      <c r="K628" s="6">
        <v>0</v>
      </c>
    </row>
    <row r="629" spans="1:11" ht="63.75" x14ac:dyDescent="0.2">
      <c r="A629" s="6" t="s">
        <v>1584</v>
      </c>
      <c r="B629" s="6" t="s">
        <v>1718</v>
      </c>
      <c r="C629" s="6" t="s">
        <v>4321</v>
      </c>
      <c r="D629" s="6" t="s">
        <v>2344</v>
      </c>
      <c r="E629" s="6" t="s">
        <v>646</v>
      </c>
      <c r="F629" s="6" t="s">
        <v>550</v>
      </c>
      <c r="G629" s="6" t="s">
        <v>2768</v>
      </c>
      <c r="H629" s="6" t="s">
        <v>2407</v>
      </c>
      <c r="I629" s="6">
        <v>7</v>
      </c>
      <c r="J629" s="6">
        <v>26</v>
      </c>
      <c r="K629" s="6">
        <v>0</v>
      </c>
    </row>
    <row r="630" spans="1:11" ht="25.5" x14ac:dyDescent="0.2">
      <c r="A630" s="11" t="s">
        <v>1815</v>
      </c>
      <c r="B630" s="6" t="s">
        <v>1880</v>
      </c>
      <c r="C630" s="6" t="s">
        <v>2910</v>
      </c>
      <c r="D630" s="6" t="s">
        <v>2489</v>
      </c>
      <c r="E630" s="6" t="s">
        <v>646</v>
      </c>
      <c r="F630" s="6" t="s">
        <v>1816</v>
      </c>
      <c r="G630" s="6" t="s">
        <v>2488</v>
      </c>
      <c r="H630" s="6" t="s">
        <v>785</v>
      </c>
      <c r="I630" s="6">
        <v>8</v>
      </c>
      <c r="J630" s="6">
        <v>11</v>
      </c>
      <c r="K630" s="6">
        <v>0</v>
      </c>
    </row>
    <row r="631" spans="1:11" ht="38.25" x14ac:dyDescent="0.2">
      <c r="A631" s="10" t="s">
        <v>727</v>
      </c>
      <c r="B631" s="6" t="s">
        <v>941</v>
      </c>
      <c r="C631" s="6" t="s">
        <v>4321</v>
      </c>
      <c r="D631" s="6" t="s">
        <v>2349</v>
      </c>
      <c r="E631" s="6" t="s">
        <v>646</v>
      </c>
      <c r="F631" s="6" t="s">
        <v>568</v>
      </c>
      <c r="G631" s="6" t="s">
        <v>2766</v>
      </c>
      <c r="H631" s="6" t="s">
        <v>785</v>
      </c>
      <c r="I631" s="6">
        <v>8</v>
      </c>
      <c r="J631" s="6">
        <v>6</v>
      </c>
      <c r="K631" s="6">
        <v>0</v>
      </c>
    </row>
    <row r="632" spans="1:11" ht="165.75" x14ac:dyDescent="0.2">
      <c r="A632" s="8" t="s">
        <v>1190</v>
      </c>
      <c r="B632" s="14" t="s">
        <v>1195</v>
      </c>
      <c r="C632" s="13" t="s">
        <v>4028</v>
      </c>
      <c r="D632" s="6" t="s">
        <v>2264</v>
      </c>
      <c r="E632" s="6" t="s">
        <v>646</v>
      </c>
      <c r="F632" s="6" t="s">
        <v>1191</v>
      </c>
      <c r="G632" s="6" t="s">
        <v>2961</v>
      </c>
      <c r="H632" s="6" t="s">
        <v>2722</v>
      </c>
      <c r="I632" s="6">
        <v>8</v>
      </c>
      <c r="J632" s="6">
        <v>19</v>
      </c>
      <c r="K632" s="6">
        <v>0</v>
      </c>
    </row>
    <row r="633" spans="1:11" x14ac:dyDescent="0.2">
      <c r="A633" s="12" t="s">
        <v>1755</v>
      </c>
      <c r="B633" s="6" t="s">
        <v>1898</v>
      </c>
      <c r="C633" s="6" t="s">
        <v>4385</v>
      </c>
      <c r="D633" s="6" t="s">
        <v>2296</v>
      </c>
      <c r="E633" s="6" t="s">
        <v>646</v>
      </c>
      <c r="F633" s="6" t="s">
        <v>1756</v>
      </c>
      <c r="G633" s="6" t="s">
        <v>2294</v>
      </c>
      <c r="H633" s="6" t="s">
        <v>2293</v>
      </c>
      <c r="I633" s="6">
        <v>8</v>
      </c>
      <c r="J633" s="6">
        <v>72</v>
      </c>
      <c r="K633" s="6">
        <v>0</v>
      </c>
    </row>
    <row r="634" spans="1:11" ht="25.5" x14ac:dyDescent="0.2">
      <c r="A634" s="8" t="s">
        <v>1796</v>
      </c>
      <c r="B634" s="6" t="s">
        <v>1865</v>
      </c>
      <c r="C634" s="13" t="s">
        <v>4319</v>
      </c>
      <c r="D634" s="6" t="s">
        <v>2453</v>
      </c>
      <c r="E634" s="6" t="s">
        <v>646</v>
      </c>
      <c r="F634" s="6" t="s">
        <v>550</v>
      </c>
      <c r="G634" s="6" t="s">
        <v>2445</v>
      </c>
      <c r="H634" s="6" t="s">
        <v>2437</v>
      </c>
      <c r="I634" s="6">
        <v>8</v>
      </c>
      <c r="J634" s="6">
        <v>26</v>
      </c>
      <c r="K634" s="6">
        <v>0</v>
      </c>
    </row>
    <row r="635" spans="1:11" ht="165.75" x14ac:dyDescent="0.2">
      <c r="A635" s="12" t="s">
        <v>1792</v>
      </c>
      <c r="B635" s="6" t="s">
        <v>1863</v>
      </c>
      <c r="C635" s="6" t="s">
        <v>4319</v>
      </c>
      <c r="D635" s="6" t="s">
        <v>2446</v>
      </c>
      <c r="E635" s="6" t="s">
        <v>646</v>
      </c>
      <c r="F635" s="6" t="s">
        <v>1793</v>
      </c>
      <c r="G635" s="6" t="s">
        <v>2445</v>
      </c>
      <c r="H635" s="6" t="s">
        <v>2807</v>
      </c>
      <c r="I635" s="6">
        <v>8</v>
      </c>
      <c r="J635" s="6">
        <v>51</v>
      </c>
      <c r="K635" s="6">
        <v>0</v>
      </c>
    </row>
    <row r="636" spans="1:11" ht="191.25" x14ac:dyDescent="0.2">
      <c r="A636" s="6" t="s">
        <v>657</v>
      </c>
      <c r="B636" s="6" t="s">
        <v>877</v>
      </c>
      <c r="C636" s="6" t="s">
        <v>4381</v>
      </c>
      <c r="D636" s="6" t="s">
        <v>2521</v>
      </c>
      <c r="E636" s="6" t="s">
        <v>646</v>
      </c>
      <c r="F636" s="6" t="s">
        <v>591</v>
      </c>
      <c r="G636" s="6" t="s">
        <v>4103</v>
      </c>
      <c r="H636" s="6" t="s">
        <v>2522</v>
      </c>
      <c r="I636" s="6">
        <v>8</v>
      </c>
      <c r="J636" s="6">
        <v>3</v>
      </c>
      <c r="K636" s="6">
        <v>0</v>
      </c>
    </row>
    <row r="637" spans="1:11" ht="89.25" x14ac:dyDescent="0.2">
      <c r="A637" s="6" t="s">
        <v>722</v>
      </c>
      <c r="B637" s="6" t="s">
        <v>935</v>
      </c>
      <c r="C637" s="6" t="s">
        <v>4208</v>
      </c>
      <c r="D637" s="6" t="s">
        <v>2404</v>
      </c>
      <c r="E637" s="6" t="s">
        <v>646</v>
      </c>
      <c r="F637" s="6" t="s">
        <v>1116</v>
      </c>
      <c r="G637" s="6" t="s">
        <v>4441</v>
      </c>
      <c r="H637" s="6" t="s">
        <v>785</v>
      </c>
      <c r="I637" s="6">
        <v>8</v>
      </c>
      <c r="J637" s="6">
        <v>7</v>
      </c>
      <c r="K637" s="6">
        <v>0</v>
      </c>
    </row>
    <row r="638" spans="1:11" ht="25.5" x14ac:dyDescent="0.2">
      <c r="A638" s="6" t="s">
        <v>1901</v>
      </c>
      <c r="B638" s="6" t="s">
        <v>1912</v>
      </c>
      <c r="C638" s="6" t="s">
        <v>4169</v>
      </c>
      <c r="D638" s="6" t="s">
        <v>2009</v>
      </c>
      <c r="E638" s="6" t="s">
        <v>646</v>
      </c>
      <c r="F638" s="6" t="s">
        <v>1902</v>
      </c>
      <c r="G638" s="6" t="s">
        <v>2008</v>
      </c>
      <c r="H638" s="6" t="s">
        <v>785</v>
      </c>
      <c r="I638" s="6">
        <v>8</v>
      </c>
      <c r="J638" s="6">
        <v>3</v>
      </c>
      <c r="K638" s="6">
        <v>0</v>
      </c>
    </row>
    <row r="639" spans="1:11" ht="25.5" x14ac:dyDescent="0.2">
      <c r="A639" s="6" t="s">
        <v>624</v>
      </c>
      <c r="B639" s="6" t="s">
        <v>845</v>
      </c>
      <c r="C639" s="6" t="s">
        <v>1748</v>
      </c>
      <c r="D639" s="6" t="s">
        <v>2483</v>
      </c>
      <c r="E639" s="6" t="s">
        <v>646</v>
      </c>
      <c r="F639" s="6" t="s">
        <v>623</v>
      </c>
      <c r="G639" s="6" t="s">
        <v>2481</v>
      </c>
      <c r="H639" s="6" t="s">
        <v>785</v>
      </c>
      <c r="I639" s="6">
        <v>8</v>
      </c>
      <c r="J639" s="6">
        <v>5</v>
      </c>
      <c r="K639" s="6">
        <v>0</v>
      </c>
    </row>
    <row r="640" spans="1:11" ht="25.5" x14ac:dyDescent="0.2">
      <c r="A640" s="12" t="s">
        <v>622</v>
      </c>
      <c r="B640" s="6" t="s">
        <v>844</v>
      </c>
      <c r="C640" s="6" t="s">
        <v>1748</v>
      </c>
      <c r="D640" s="6" t="s">
        <v>2482</v>
      </c>
      <c r="E640" s="6" t="s">
        <v>646</v>
      </c>
      <c r="F640" s="6" t="s">
        <v>623</v>
      </c>
      <c r="G640" s="6" t="s">
        <v>2481</v>
      </c>
      <c r="H640" s="6" t="s">
        <v>785</v>
      </c>
      <c r="I640" s="6">
        <v>8</v>
      </c>
      <c r="J640" s="6">
        <v>5</v>
      </c>
      <c r="K640" s="6">
        <v>0</v>
      </c>
    </row>
    <row r="641" spans="1:11" ht="76.5" x14ac:dyDescent="0.2">
      <c r="A641" s="11" t="s">
        <v>1795</v>
      </c>
      <c r="B641" s="6" t="s">
        <v>1864</v>
      </c>
      <c r="C641" s="6" t="s">
        <v>4319</v>
      </c>
      <c r="D641" s="6" t="s">
        <v>2452</v>
      </c>
      <c r="E641" s="6" t="s">
        <v>646</v>
      </c>
      <c r="F641" s="6" t="s">
        <v>568</v>
      </c>
      <c r="G641" s="6" t="s">
        <v>2805</v>
      </c>
      <c r="H641" s="6" t="s">
        <v>2437</v>
      </c>
      <c r="I641" s="6">
        <v>8</v>
      </c>
      <c r="J641" s="6">
        <v>25</v>
      </c>
      <c r="K641" s="6">
        <v>0</v>
      </c>
    </row>
    <row r="642" spans="1:11" ht="38.25" x14ac:dyDescent="0.2">
      <c r="A642" s="11" t="s">
        <v>627</v>
      </c>
      <c r="B642" s="6" t="s">
        <v>847</v>
      </c>
      <c r="C642" s="6" t="s">
        <v>1748</v>
      </c>
      <c r="D642" s="6" t="s">
        <v>2485</v>
      </c>
      <c r="E642" s="6" t="s">
        <v>646</v>
      </c>
      <c r="F642" s="6" t="s">
        <v>628</v>
      </c>
      <c r="G642" s="6" t="s">
        <v>2834</v>
      </c>
      <c r="H642" s="6" t="s">
        <v>785</v>
      </c>
      <c r="I642" s="6">
        <v>8</v>
      </c>
      <c r="J642" s="6">
        <v>1</v>
      </c>
      <c r="K642" s="6">
        <v>0</v>
      </c>
    </row>
    <row r="643" spans="1:11" ht="38.25" x14ac:dyDescent="0.2">
      <c r="A643" s="11" t="s">
        <v>629</v>
      </c>
      <c r="B643" s="6" t="s">
        <v>848</v>
      </c>
      <c r="C643" s="6" t="s">
        <v>1748</v>
      </c>
      <c r="D643" s="6" t="s">
        <v>2486</v>
      </c>
      <c r="E643" s="6" t="s">
        <v>646</v>
      </c>
      <c r="F643" s="6" t="s">
        <v>628</v>
      </c>
      <c r="G643" s="6" t="s">
        <v>2834</v>
      </c>
      <c r="H643" s="6" t="s">
        <v>785</v>
      </c>
      <c r="I643" s="6">
        <v>8</v>
      </c>
      <c r="J643" s="6">
        <v>1</v>
      </c>
      <c r="K643" s="6">
        <v>0</v>
      </c>
    </row>
    <row r="644" spans="1:11" ht="382.5" x14ac:dyDescent="0.2">
      <c r="A644" s="11" t="s">
        <v>1099</v>
      </c>
      <c r="B644" s="6" t="s">
        <v>895</v>
      </c>
      <c r="C644" s="6" t="s">
        <v>4322</v>
      </c>
      <c r="D644" s="6" t="s">
        <v>2241</v>
      </c>
      <c r="E644" s="6" t="s">
        <v>646</v>
      </c>
      <c r="F644" s="6" t="s">
        <v>550</v>
      </c>
      <c r="G644" s="6" t="s">
        <v>2967</v>
      </c>
      <c r="H644" s="6" t="s">
        <v>2709</v>
      </c>
      <c r="I644" s="6">
        <v>9</v>
      </c>
      <c r="J644" s="6">
        <v>24</v>
      </c>
      <c r="K644" s="6">
        <v>0</v>
      </c>
    </row>
    <row r="645" spans="1:11" ht="76.5" x14ac:dyDescent="0.2">
      <c r="A645" s="6" t="s">
        <v>1807</v>
      </c>
      <c r="B645" s="6" t="s">
        <v>821</v>
      </c>
      <c r="C645" s="6" t="s">
        <v>1745</v>
      </c>
      <c r="D645" s="6" t="s">
        <v>2465</v>
      </c>
      <c r="E645" s="6" t="s">
        <v>646</v>
      </c>
      <c r="F645" s="6" t="s">
        <v>1942</v>
      </c>
      <c r="G645" s="6" t="s">
        <v>2825</v>
      </c>
      <c r="H645" s="6" t="s">
        <v>785</v>
      </c>
      <c r="I645" s="6">
        <v>9</v>
      </c>
      <c r="J645" s="6">
        <v>4</v>
      </c>
      <c r="K645" s="6">
        <v>0</v>
      </c>
    </row>
    <row r="646" spans="1:11" ht="89.25" x14ac:dyDescent="0.2">
      <c r="A646" s="6" t="s">
        <v>746</v>
      </c>
      <c r="B646" s="6" t="s">
        <v>1701</v>
      </c>
      <c r="C646" s="6" t="s">
        <v>4028</v>
      </c>
      <c r="D646" s="6" t="s">
        <v>2268</v>
      </c>
      <c r="E646" s="6" t="s">
        <v>646</v>
      </c>
      <c r="F646" s="6" t="s">
        <v>550</v>
      </c>
      <c r="G646" s="6" t="s">
        <v>2847</v>
      </c>
      <c r="H646" s="6" t="s">
        <v>2502</v>
      </c>
      <c r="I646" s="6">
        <v>9</v>
      </c>
      <c r="J646" s="6">
        <v>23</v>
      </c>
      <c r="K646" s="6">
        <v>0</v>
      </c>
    </row>
    <row r="647" spans="1:11" ht="89.25" x14ac:dyDescent="0.2">
      <c r="A647" s="7" t="s">
        <v>593</v>
      </c>
      <c r="B647" s="6" t="s">
        <v>824</v>
      </c>
      <c r="C647" s="6" t="s">
        <v>4319</v>
      </c>
      <c r="D647" s="6" t="s">
        <v>2447</v>
      </c>
      <c r="E647" s="6" t="s">
        <v>646</v>
      </c>
      <c r="F647" s="6" t="s">
        <v>550</v>
      </c>
      <c r="G647" s="6" t="s">
        <v>2952</v>
      </c>
      <c r="H647" s="6" t="s">
        <v>2808</v>
      </c>
      <c r="I647" s="6">
        <v>9</v>
      </c>
      <c r="J647" s="6">
        <v>8</v>
      </c>
      <c r="K647" s="6">
        <v>0</v>
      </c>
    </row>
    <row r="648" spans="1:11" ht="102" x14ac:dyDescent="0.2">
      <c r="A648" s="11" t="s">
        <v>594</v>
      </c>
      <c r="B648" s="6" t="s">
        <v>825</v>
      </c>
      <c r="C648" s="6" t="s">
        <v>4319</v>
      </c>
      <c r="D648" s="6" t="s">
        <v>2448</v>
      </c>
      <c r="E648" s="6" t="s">
        <v>646</v>
      </c>
      <c r="F648" s="6" t="s">
        <v>550</v>
      </c>
      <c r="G648" s="6" t="s">
        <v>2953</v>
      </c>
      <c r="H648" s="6" t="s">
        <v>2810</v>
      </c>
      <c r="I648" s="6">
        <v>9</v>
      </c>
      <c r="J648" s="6">
        <v>14</v>
      </c>
      <c r="K648" s="6">
        <v>0</v>
      </c>
    </row>
    <row r="649" spans="1:11" ht="178.5" x14ac:dyDescent="0.2">
      <c r="A649" s="11" t="s">
        <v>630</v>
      </c>
      <c r="B649" s="6" t="s">
        <v>849</v>
      </c>
      <c r="C649" s="6" t="s">
        <v>1748</v>
      </c>
      <c r="D649" s="6" t="s">
        <v>2487</v>
      </c>
      <c r="E649" s="6" t="s">
        <v>646</v>
      </c>
      <c r="F649" s="6" t="s">
        <v>1079</v>
      </c>
      <c r="G649" s="6" t="s">
        <v>2826</v>
      </c>
      <c r="H649" s="6" t="s">
        <v>785</v>
      </c>
      <c r="I649" s="6">
        <v>9</v>
      </c>
      <c r="J649" s="6">
        <v>26</v>
      </c>
      <c r="K649" s="6">
        <v>0</v>
      </c>
    </row>
    <row r="650" spans="1:11" ht="38.25" x14ac:dyDescent="0.2">
      <c r="A650" s="11" t="s">
        <v>1812</v>
      </c>
      <c r="B650" s="6" t="s">
        <v>1878</v>
      </c>
      <c r="C650" s="6" t="s">
        <v>1745</v>
      </c>
      <c r="D650" s="6" t="s">
        <v>2470</v>
      </c>
      <c r="E650" s="6" t="s">
        <v>646</v>
      </c>
      <c r="F650" s="6" t="s">
        <v>1813</v>
      </c>
      <c r="G650" s="6" t="s">
        <v>2446</v>
      </c>
      <c r="H650" s="6" t="s">
        <v>785</v>
      </c>
      <c r="I650" s="6">
        <v>9</v>
      </c>
      <c r="J650" s="6">
        <v>23</v>
      </c>
      <c r="K650" s="6">
        <v>0</v>
      </c>
    </row>
    <row r="651" spans="1:11" ht="25.5" x14ac:dyDescent="0.2">
      <c r="A651" s="11" t="s">
        <v>1758</v>
      </c>
      <c r="B651" s="6" t="s">
        <v>1832</v>
      </c>
      <c r="C651" s="6" t="s">
        <v>1741</v>
      </c>
      <c r="D651" s="6" t="s">
        <v>2412</v>
      </c>
      <c r="E651" s="6" t="s">
        <v>646</v>
      </c>
      <c r="F651" s="6" t="s">
        <v>568</v>
      </c>
      <c r="G651" s="6" t="s">
        <v>2446</v>
      </c>
      <c r="H651" s="14" t="s">
        <v>785</v>
      </c>
      <c r="I651" s="6">
        <v>9</v>
      </c>
      <c r="J651" s="6">
        <v>5</v>
      </c>
      <c r="K651" s="6">
        <v>0</v>
      </c>
    </row>
    <row r="652" spans="1:11" ht="25.5" x14ac:dyDescent="0.2">
      <c r="A652" s="6" t="s">
        <v>1757</v>
      </c>
      <c r="B652" s="6" t="s">
        <v>1831</v>
      </c>
      <c r="C652" s="6" t="s">
        <v>1741</v>
      </c>
      <c r="D652" s="6" t="s">
        <v>2411</v>
      </c>
      <c r="E652" s="6" t="s">
        <v>646</v>
      </c>
      <c r="F652" s="6" t="s">
        <v>568</v>
      </c>
      <c r="G652" s="6" t="s">
        <v>2446</v>
      </c>
      <c r="H652" s="6" t="s">
        <v>785</v>
      </c>
      <c r="I652" s="6">
        <v>9</v>
      </c>
      <c r="J652" s="6">
        <v>5</v>
      </c>
      <c r="K652" s="6">
        <v>0</v>
      </c>
    </row>
    <row r="653" spans="1:11" ht="25.5" x14ac:dyDescent="0.2">
      <c r="A653" s="11" t="s">
        <v>1754</v>
      </c>
      <c r="B653" s="6" t="s">
        <v>1829</v>
      </c>
      <c r="C653" s="6" t="s">
        <v>4385</v>
      </c>
      <c r="D653" s="6" t="s">
        <v>2293</v>
      </c>
      <c r="E653" s="6" t="s">
        <v>646</v>
      </c>
      <c r="F653" s="6" t="s">
        <v>591</v>
      </c>
      <c r="G653" s="6" t="s">
        <v>2737</v>
      </c>
      <c r="H653" s="6" t="s">
        <v>2384</v>
      </c>
      <c r="I653" s="6">
        <v>9</v>
      </c>
      <c r="J653" s="6">
        <v>14</v>
      </c>
      <c r="K653" s="6">
        <v>0</v>
      </c>
    </row>
    <row r="654" spans="1:11" x14ac:dyDescent="0.2">
      <c r="A654" s="12" t="s">
        <v>658</v>
      </c>
      <c r="B654" s="6" t="s">
        <v>878</v>
      </c>
      <c r="C654" s="6" t="s">
        <v>4381</v>
      </c>
      <c r="D654" s="6" t="s">
        <v>2522</v>
      </c>
      <c r="E654" s="6" t="s">
        <v>646</v>
      </c>
      <c r="F654" s="6" t="s">
        <v>591</v>
      </c>
      <c r="G654" s="6" t="s">
        <v>2521</v>
      </c>
      <c r="H654" s="6" t="s">
        <v>785</v>
      </c>
      <c r="I654" s="6">
        <v>9</v>
      </c>
      <c r="J654" s="6">
        <v>1</v>
      </c>
      <c r="K654" s="6">
        <v>0</v>
      </c>
    </row>
    <row r="655" spans="1:11" ht="25.5" x14ac:dyDescent="0.2">
      <c r="A655" s="12" t="s">
        <v>1192</v>
      </c>
      <c r="B655" s="13" t="s">
        <v>1196</v>
      </c>
      <c r="C655" s="6" t="s">
        <v>4381</v>
      </c>
      <c r="D655" s="6" t="s">
        <v>2506</v>
      </c>
      <c r="E655" s="6" t="s">
        <v>646</v>
      </c>
      <c r="F655" s="6" t="s">
        <v>550</v>
      </c>
      <c r="G655" s="6" t="s">
        <v>2844</v>
      </c>
      <c r="H655" s="6" t="s">
        <v>785</v>
      </c>
      <c r="I655" s="6">
        <v>9</v>
      </c>
      <c r="J655" s="6">
        <v>12</v>
      </c>
      <c r="K655" s="6">
        <v>0</v>
      </c>
    </row>
    <row r="656" spans="1:11" ht="51" x14ac:dyDescent="0.2">
      <c r="A656" s="8" t="s">
        <v>1943</v>
      </c>
      <c r="B656" s="13" t="s">
        <v>1945</v>
      </c>
      <c r="C656" s="6" t="s">
        <v>4028</v>
      </c>
      <c r="D656" s="6" t="s">
        <v>2262</v>
      </c>
      <c r="E656" s="6" t="s">
        <v>646</v>
      </c>
      <c r="F656" s="6" t="s">
        <v>550</v>
      </c>
      <c r="G656" s="6" t="s">
        <v>2809</v>
      </c>
      <c r="H656" s="6" t="s">
        <v>2721</v>
      </c>
      <c r="I656" s="6">
        <v>10</v>
      </c>
      <c r="J656" s="6">
        <v>14</v>
      </c>
      <c r="K656" s="6">
        <v>0</v>
      </c>
    </row>
    <row r="657" spans="1:11" ht="38.25" x14ac:dyDescent="0.2">
      <c r="A657" s="11" t="s">
        <v>1808</v>
      </c>
      <c r="B657" s="6" t="s">
        <v>822</v>
      </c>
      <c r="C657" s="6" t="s">
        <v>1745</v>
      </c>
      <c r="D657" s="6" t="s">
        <v>2466</v>
      </c>
      <c r="E657" s="6" t="s">
        <v>646</v>
      </c>
      <c r="F657" s="6" t="s">
        <v>1942</v>
      </c>
      <c r="G657" s="6" t="s">
        <v>2812</v>
      </c>
      <c r="H657" s="6" t="s">
        <v>2259</v>
      </c>
      <c r="I657" s="6">
        <v>10</v>
      </c>
      <c r="J657" s="6">
        <v>4</v>
      </c>
      <c r="K657" s="6">
        <v>0</v>
      </c>
    </row>
    <row r="658" spans="1:11" ht="51" x14ac:dyDescent="0.2">
      <c r="A658" s="11" t="s">
        <v>1825</v>
      </c>
      <c r="B658" s="6" t="s">
        <v>1889</v>
      </c>
      <c r="C658" s="6" t="s">
        <v>1752</v>
      </c>
      <c r="D658" s="6" t="s">
        <v>2502</v>
      </c>
      <c r="E658" s="6" t="s">
        <v>646</v>
      </c>
      <c r="F658" s="6" t="s">
        <v>1826</v>
      </c>
      <c r="G658" s="6" t="s">
        <v>2969</v>
      </c>
      <c r="H658" s="6" t="s">
        <v>785</v>
      </c>
      <c r="I658" s="6">
        <v>10</v>
      </c>
      <c r="J658" s="6">
        <v>5</v>
      </c>
      <c r="K658" s="6">
        <v>0</v>
      </c>
    </row>
    <row r="659" spans="1:11" ht="114.75" x14ac:dyDescent="0.2">
      <c r="A659" s="8" t="s">
        <v>673</v>
      </c>
      <c r="B659" s="6" t="s">
        <v>894</v>
      </c>
      <c r="C659" s="6" t="s">
        <v>4322</v>
      </c>
      <c r="D659" s="6" t="s">
        <v>2238</v>
      </c>
      <c r="E659" s="6" t="s">
        <v>646</v>
      </c>
      <c r="F659" s="6" t="s">
        <v>550</v>
      </c>
      <c r="G659" s="6" t="s">
        <v>2966</v>
      </c>
      <c r="H659" s="6" t="s">
        <v>2707</v>
      </c>
      <c r="I659" s="6">
        <v>10</v>
      </c>
      <c r="J659" s="6">
        <v>26</v>
      </c>
      <c r="K659" s="6">
        <v>0</v>
      </c>
    </row>
    <row r="660" spans="1:11" ht="114.75" x14ac:dyDescent="0.2">
      <c r="A660" s="11" t="s">
        <v>588</v>
      </c>
      <c r="B660" s="6" t="s">
        <v>819</v>
      </c>
      <c r="C660" s="6" t="s">
        <v>4319</v>
      </c>
      <c r="D660" s="6" t="s">
        <v>2437</v>
      </c>
      <c r="E660" s="6" t="s">
        <v>646</v>
      </c>
      <c r="F660" s="6" t="s">
        <v>568</v>
      </c>
      <c r="G660" s="6" t="s">
        <v>2814</v>
      </c>
      <c r="H660" s="6" t="s">
        <v>785</v>
      </c>
      <c r="I660" s="6">
        <v>10</v>
      </c>
      <c r="J660" s="6">
        <v>1</v>
      </c>
      <c r="K660" s="6">
        <v>0</v>
      </c>
    </row>
    <row r="661" spans="1:11" ht="114.75" x14ac:dyDescent="0.2">
      <c r="A661" s="12" t="s">
        <v>1582</v>
      </c>
      <c r="B661" s="6" t="s">
        <v>811</v>
      </c>
      <c r="C661" s="6" t="s">
        <v>4030</v>
      </c>
      <c r="D661" s="6" t="s">
        <v>2322</v>
      </c>
      <c r="E661" s="6" t="s">
        <v>646</v>
      </c>
      <c r="F661" s="6" t="s">
        <v>550</v>
      </c>
      <c r="G661" s="6" t="s">
        <v>2947</v>
      </c>
      <c r="H661" s="6" t="s">
        <v>2749</v>
      </c>
      <c r="I661" s="6">
        <v>10</v>
      </c>
      <c r="J661" s="6">
        <v>59</v>
      </c>
      <c r="K661" s="6">
        <v>0</v>
      </c>
    </row>
    <row r="662" spans="1:11" ht="242.25" x14ac:dyDescent="0.2">
      <c r="A662" s="8" t="s">
        <v>2995</v>
      </c>
      <c r="B662" s="6" t="s">
        <v>890</v>
      </c>
      <c r="C662" s="6" t="s">
        <v>4322</v>
      </c>
      <c r="D662" s="6" t="s">
        <v>2235</v>
      </c>
      <c r="E662" s="6" t="s">
        <v>646</v>
      </c>
      <c r="F662" s="6" t="s">
        <v>3161</v>
      </c>
      <c r="G662" s="6" t="s">
        <v>2965</v>
      </c>
      <c r="H662" s="6" t="s">
        <v>3168</v>
      </c>
      <c r="I662" s="6">
        <v>10</v>
      </c>
      <c r="J662" s="6">
        <v>57</v>
      </c>
      <c r="K662" s="6">
        <v>0</v>
      </c>
    </row>
    <row r="663" spans="1:11" ht="140.25" x14ac:dyDescent="0.2">
      <c r="A663" s="11" t="s">
        <v>742</v>
      </c>
      <c r="B663" s="13" t="s">
        <v>1698</v>
      </c>
      <c r="C663" s="6" t="s">
        <v>4028</v>
      </c>
      <c r="D663" s="6" t="s">
        <v>2259</v>
      </c>
      <c r="E663" s="6" t="s">
        <v>646</v>
      </c>
      <c r="F663" s="6" t="s">
        <v>743</v>
      </c>
      <c r="G663" s="6" t="s">
        <v>4407</v>
      </c>
      <c r="H663" s="6" t="s">
        <v>2717</v>
      </c>
      <c r="I663" s="6">
        <v>11</v>
      </c>
      <c r="J663" s="6">
        <v>75</v>
      </c>
      <c r="K663" s="6">
        <v>0</v>
      </c>
    </row>
    <row r="664" spans="1:11" ht="216.75" x14ac:dyDescent="0.2">
      <c r="A664" s="11" t="s">
        <v>1133</v>
      </c>
      <c r="B664" s="13" t="s">
        <v>977</v>
      </c>
      <c r="C664" s="6" t="s">
        <v>4032</v>
      </c>
      <c r="D664" s="6" t="s">
        <v>2361</v>
      </c>
      <c r="E664" s="6" t="s">
        <v>646</v>
      </c>
      <c r="F664" s="6" t="s">
        <v>1134</v>
      </c>
      <c r="G664" s="6" t="s">
        <v>3153</v>
      </c>
      <c r="H664" s="6" t="s">
        <v>2515</v>
      </c>
      <c r="I664" s="6">
        <v>11</v>
      </c>
      <c r="J664" s="6">
        <v>7</v>
      </c>
      <c r="K664" s="6">
        <v>0</v>
      </c>
    </row>
    <row r="665" spans="1:11" ht="191.25" x14ac:dyDescent="0.2">
      <c r="A665" s="6" t="s">
        <v>1098</v>
      </c>
      <c r="B665" s="6" t="s">
        <v>1727</v>
      </c>
      <c r="C665" s="6" t="s">
        <v>4032</v>
      </c>
      <c r="D665" s="6" t="s">
        <v>2371</v>
      </c>
      <c r="E665" s="6" t="s">
        <v>646</v>
      </c>
      <c r="F665" s="6" t="s">
        <v>674</v>
      </c>
      <c r="G665" s="6" t="s">
        <v>3993</v>
      </c>
      <c r="H665" s="6" t="s">
        <v>785</v>
      </c>
      <c r="I665" s="6">
        <v>11</v>
      </c>
      <c r="J665" s="6">
        <v>1</v>
      </c>
      <c r="K665" s="6">
        <v>0</v>
      </c>
    </row>
    <row r="666" spans="1:11" ht="25.5" x14ac:dyDescent="0.2">
      <c r="A666" s="11" t="s">
        <v>1136</v>
      </c>
      <c r="B666" s="6" t="s">
        <v>978</v>
      </c>
      <c r="C666" s="6" t="s">
        <v>4032</v>
      </c>
      <c r="D666" s="6" t="s">
        <v>2363</v>
      </c>
      <c r="E666" s="6" t="s">
        <v>646</v>
      </c>
      <c r="F666" s="6" t="s">
        <v>766</v>
      </c>
      <c r="G666" s="6" t="s">
        <v>2238</v>
      </c>
      <c r="H666" s="6" t="s">
        <v>785</v>
      </c>
      <c r="I666" s="6">
        <v>11</v>
      </c>
      <c r="J666" s="6">
        <v>8</v>
      </c>
      <c r="K666" s="6">
        <v>0</v>
      </c>
    </row>
    <row r="667" spans="1:11" ht="153" x14ac:dyDescent="0.2">
      <c r="A667" s="12" t="s">
        <v>1939</v>
      </c>
      <c r="B667" s="6" t="s">
        <v>979</v>
      </c>
      <c r="C667" s="6" t="s">
        <v>4032</v>
      </c>
      <c r="D667" s="6" t="s">
        <v>2370</v>
      </c>
      <c r="E667" s="6" t="s">
        <v>646</v>
      </c>
      <c r="F667" s="6" t="s">
        <v>1137</v>
      </c>
      <c r="G667" s="6" t="s">
        <v>4109</v>
      </c>
      <c r="H667" s="6" t="s">
        <v>2515</v>
      </c>
      <c r="I667" s="6">
        <v>11</v>
      </c>
      <c r="J667" s="6">
        <v>7</v>
      </c>
      <c r="K667" s="6">
        <v>0</v>
      </c>
    </row>
    <row r="668" spans="1:11" ht="63.75" x14ac:dyDescent="0.2">
      <c r="A668" s="6" t="s">
        <v>2991</v>
      </c>
      <c r="B668" s="6" t="s">
        <v>1723</v>
      </c>
      <c r="C668" s="6" t="s">
        <v>4032</v>
      </c>
      <c r="D668" s="6" t="s">
        <v>2364</v>
      </c>
      <c r="E668" s="6" t="s">
        <v>646</v>
      </c>
      <c r="F668" s="6" t="s">
        <v>3850</v>
      </c>
      <c r="G668" s="6" t="s">
        <v>3919</v>
      </c>
      <c r="H668" s="6" t="s">
        <v>2369</v>
      </c>
      <c r="I668" s="6">
        <v>11</v>
      </c>
      <c r="J668" s="6">
        <v>6</v>
      </c>
      <c r="K668" s="6">
        <v>0</v>
      </c>
    </row>
    <row r="669" spans="1:11" ht="51" x14ac:dyDescent="0.2">
      <c r="A669" s="12" t="s">
        <v>3162</v>
      </c>
      <c r="B669" s="6" t="s">
        <v>3175</v>
      </c>
      <c r="C669" s="6" t="s">
        <v>4032</v>
      </c>
      <c r="D669" s="6" t="s">
        <v>3164</v>
      </c>
      <c r="E669" s="6" t="s">
        <v>646</v>
      </c>
      <c r="F669" s="6" t="s">
        <v>3163</v>
      </c>
      <c r="G669" s="6" t="s">
        <v>3992</v>
      </c>
      <c r="H669" s="6" t="s">
        <v>3178</v>
      </c>
      <c r="I669" s="6">
        <v>11</v>
      </c>
      <c r="J669" s="6">
        <v>11</v>
      </c>
      <c r="K669" s="6">
        <v>0</v>
      </c>
    </row>
    <row r="670" spans="1:11" ht="51" x14ac:dyDescent="0.2">
      <c r="A670" s="11" t="s">
        <v>1143</v>
      </c>
      <c r="B670" s="6" t="s">
        <v>984</v>
      </c>
      <c r="C670" s="6" t="s">
        <v>4032</v>
      </c>
      <c r="D670" s="6" t="s">
        <v>2377</v>
      </c>
      <c r="E670" s="6" t="s">
        <v>646</v>
      </c>
      <c r="F670" s="6" t="s">
        <v>768</v>
      </c>
      <c r="G670" s="6" t="s">
        <v>3994</v>
      </c>
      <c r="H670" s="6" t="s">
        <v>785</v>
      </c>
      <c r="I670" s="6">
        <v>11</v>
      </c>
      <c r="J670" s="6">
        <v>5</v>
      </c>
      <c r="K670" s="6">
        <v>0</v>
      </c>
    </row>
    <row r="671" spans="1:11" ht="25.5" x14ac:dyDescent="0.2">
      <c r="A671" s="11" t="s">
        <v>1554</v>
      </c>
      <c r="B671" s="6" t="s">
        <v>1688</v>
      </c>
      <c r="C671" s="6" t="s">
        <v>4322</v>
      </c>
      <c r="D671" s="6" t="s">
        <v>2227</v>
      </c>
      <c r="E671" s="6" t="s">
        <v>646</v>
      </c>
      <c r="F671" s="6" t="s">
        <v>1065</v>
      </c>
      <c r="G671" s="6" t="s">
        <v>3992</v>
      </c>
      <c r="H671" s="6" t="s">
        <v>785</v>
      </c>
      <c r="I671" s="6">
        <v>11</v>
      </c>
      <c r="J671" s="6">
        <v>1</v>
      </c>
      <c r="K671" s="6">
        <v>0</v>
      </c>
    </row>
    <row r="672" spans="1:11" ht="76.5" x14ac:dyDescent="0.2">
      <c r="A672" s="11" t="s">
        <v>1938</v>
      </c>
      <c r="B672" s="6" t="s">
        <v>975</v>
      </c>
      <c r="C672" s="6" t="s">
        <v>4032</v>
      </c>
      <c r="D672" s="6" t="s">
        <v>2359</v>
      </c>
      <c r="E672" s="6" t="s">
        <v>646</v>
      </c>
      <c r="F672" s="6" t="s">
        <v>3850</v>
      </c>
      <c r="G672" s="6" t="s">
        <v>3196</v>
      </c>
      <c r="H672" s="6" t="s">
        <v>2520</v>
      </c>
      <c r="I672" s="6">
        <v>11</v>
      </c>
      <c r="J672" s="6">
        <v>8</v>
      </c>
      <c r="K672" s="6">
        <v>0</v>
      </c>
    </row>
    <row r="673" spans="1:11" ht="357" x14ac:dyDescent="0.2">
      <c r="A673" s="6" t="s">
        <v>1604</v>
      </c>
      <c r="B673" s="14" t="s">
        <v>1735</v>
      </c>
      <c r="C673" s="6" t="s">
        <v>4208</v>
      </c>
      <c r="D673" s="6" t="s">
        <v>2407</v>
      </c>
      <c r="E673" s="6" t="s">
        <v>646</v>
      </c>
      <c r="F673" s="6" t="s">
        <v>587</v>
      </c>
      <c r="G673" s="6" t="s">
        <v>4096</v>
      </c>
      <c r="H673" s="6" t="s">
        <v>785</v>
      </c>
      <c r="I673" s="6">
        <v>11</v>
      </c>
      <c r="J673" s="6">
        <v>14</v>
      </c>
      <c r="K673" s="6">
        <v>0</v>
      </c>
    </row>
    <row r="674" spans="1:11" ht="89.25" x14ac:dyDescent="0.2">
      <c r="A674" s="12" t="s">
        <v>1778</v>
      </c>
      <c r="B674" s="6" t="s">
        <v>1849</v>
      </c>
      <c r="C674" s="6" t="s">
        <v>4319</v>
      </c>
      <c r="D674" s="6" t="s">
        <v>2430</v>
      </c>
      <c r="E674" s="6" t="s">
        <v>646</v>
      </c>
      <c r="F674" s="6" t="s">
        <v>587</v>
      </c>
      <c r="G674" s="6" t="s">
        <v>2751</v>
      </c>
      <c r="H674" s="6" t="s">
        <v>785</v>
      </c>
      <c r="I674" s="6">
        <v>11</v>
      </c>
      <c r="J674" s="6">
        <v>1</v>
      </c>
      <c r="K674" s="6">
        <v>0</v>
      </c>
    </row>
    <row r="675" spans="1:11" ht="25.5" x14ac:dyDescent="0.2">
      <c r="A675" s="11" t="s">
        <v>1102</v>
      </c>
      <c r="B675" s="13" t="s">
        <v>900</v>
      </c>
      <c r="C675" s="6" t="s">
        <v>4322</v>
      </c>
      <c r="D675" s="6" t="s">
        <v>2249</v>
      </c>
      <c r="E675" s="6" t="s">
        <v>646</v>
      </c>
      <c r="F675" s="6" t="s">
        <v>1103</v>
      </c>
      <c r="G675" s="6" t="s">
        <v>2963</v>
      </c>
      <c r="H675" s="6" t="s">
        <v>785</v>
      </c>
      <c r="I675" s="6">
        <v>11</v>
      </c>
      <c r="J675" s="6">
        <v>14</v>
      </c>
      <c r="K675" s="6">
        <v>0</v>
      </c>
    </row>
    <row r="676" spans="1:11" ht="127.5" x14ac:dyDescent="0.2">
      <c r="A676" s="6" t="s">
        <v>2990</v>
      </c>
      <c r="B676" s="6" t="s">
        <v>1722</v>
      </c>
      <c r="C676" s="6" t="s">
        <v>4032</v>
      </c>
      <c r="D676" s="6" t="s">
        <v>2362</v>
      </c>
      <c r="E676" s="6" t="s">
        <v>646</v>
      </c>
      <c r="F676" s="6" t="s">
        <v>1587</v>
      </c>
      <c r="G676" s="6" t="s">
        <v>3157</v>
      </c>
      <c r="H676" s="6" t="s">
        <v>2406</v>
      </c>
      <c r="I676" s="6">
        <v>11</v>
      </c>
      <c r="J676" s="6">
        <v>12</v>
      </c>
      <c r="K676" s="6">
        <v>0</v>
      </c>
    </row>
    <row r="677" spans="1:11" ht="38.25" x14ac:dyDescent="0.2">
      <c r="A677" s="11" t="s">
        <v>1151</v>
      </c>
      <c r="B677" s="14" t="s">
        <v>991</v>
      </c>
      <c r="C677" s="6" t="s">
        <v>2901</v>
      </c>
      <c r="D677" s="6" t="s">
        <v>1998</v>
      </c>
      <c r="E677" s="6" t="s">
        <v>646</v>
      </c>
      <c r="F677" s="6" t="s">
        <v>775</v>
      </c>
      <c r="G677" s="6" t="s">
        <v>3992</v>
      </c>
      <c r="H677" s="6" t="s">
        <v>785</v>
      </c>
      <c r="I677" s="6">
        <v>11</v>
      </c>
      <c r="J677" s="6">
        <v>25</v>
      </c>
      <c r="K677" s="6">
        <v>0</v>
      </c>
    </row>
    <row r="678" spans="1:11" ht="63.75" x14ac:dyDescent="0.2">
      <c r="A678" s="6" t="s">
        <v>2996</v>
      </c>
      <c r="B678" s="6" t="s">
        <v>892</v>
      </c>
      <c r="C678" s="6" t="s">
        <v>4322</v>
      </c>
      <c r="D678" s="6" t="s">
        <v>2236</v>
      </c>
      <c r="E678" s="6" t="s">
        <v>646</v>
      </c>
      <c r="F678" s="6" t="s">
        <v>671</v>
      </c>
      <c r="G678" s="6" t="s">
        <v>2235</v>
      </c>
      <c r="H678" s="6" t="s">
        <v>2706</v>
      </c>
      <c r="I678" s="6">
        <v>11</v>
      </c>
      <c r="J678" s="6">
        <v>11</v>
      </c>
      <c r="K678" s="6">
        <v>0</v>
      </c>
    </row>
    <row r="679" spans="1:11" ht="25.5" x14ac:dyDescent="0.2">
      <c r="A679" s="8" t="s">
        <v>717</v>
      </c>
      <c r="B679" s="6" t="s">
        <v>931</v>
      </c>
      <c r="C679" s="13" t="s">
        <v>4208</v>
      </c>
      <c r="D679" s="6" t="s">
        <v>2397</v>
      </c>
      <c r="E679" s="6" t="s">
        <v>646</v>
      </c>
      <c r="F679" s="6" t="s">
        <v>718</v>
      </c>
      <c r="G679" s="6" t="s">
        <v>2761</v>
      </c>
      <c r="H679" s="6" t="s">
        <v>785</v>
      </c>
      <c r="I679" s="6">
        <v>12</v>
      </c>
      <c r="J679" s="6">
        <v>16</v>
      </c>
      <c r="K679" s="6">
        <v>0</v>
      </c>
    </row>
    <row r="680" spans="1:11" ht="242.25" x14ac:dyDescent="0.2">
      <c r="A680" s="11" t="s">
        <v>1140</v>
      </c>
      <c r="B680" s="6" t="s">
        <v>981</v>
      </c>
      <c r="C680" s="6" t="s">
        <v>4032</v>
      </c>
      <c r="D680" s="6" t="s">
        <v>2374</v>
      </c>
      <c r="E680" s="6" t="s">
        <v>646</v>
      </c>
      <c r="F680" s="6" t="s">
        <v>767</v>
      </c>
      <c r="G680" s="6" t="s">
        <v>3154</v>
      </c>
      <c r="H680" s="6" t="s">
        <v>2378</v>
      </c>
      <c r="I680" s="6">
        <v>12</v>
      </c>
      <c r="J680" s="6">
        <v>7</v>
      </c>
      <c r="K680" s="6">
        <v>0</v>
      </c>
    </row>
    <row r="681" spans="1:11" ht="267.75" x14ac:dyDescent="0.2">
      <c r="A681" s="8" t="s">
        <v>1185</v>
      </c>
      <c r="B681" s="6" t="s">
        <v>1201</v>
      </c>
      <c r="C681" s="6" t="s">
        <v>1486</v>
      </c>
      <c r="D681" s="6" t="s">
        <v>2308</v>
      </c>
      <c r="E681" s="6" t="s">
        <v>646</v>
      </c>
      <c r="F681" s="6" t="s">
        <v>1186</v>
      </c>
      <c r="G681" s="6" t="s">
        <v>4418</v>
      </c>
      <c r="H681" s="6" t="s">
        <v>785</v>
      </c>
      <c r="I681" s="6">
        <v>12</v>
      </c>
      <c r="J681" s="6">
        <v>10</v>
      </c>
      <c r="K681" s="6">
        <v>0</v>
      </c>
    </row>
    <row r="682" spans="1:11" ht="25.5" x14ac:dyDescent="0.2">
      <c r="A682" s="12" t="s">
        <v>1132</v>
      </c>
      <c r="B682" s="6" t="s">
        <v>976</v>
      </c>
      <c r="C682" s="6" t="s">
        <v>4032</v>
      </c>
      <c r="D682" s="6" t="s">
        <v>2360</v>
      </c>
      <c r="E682" s="6" t="s">
        <v>646</v>
      </c>
      <c r="F682" s="6" t="s">
        <v>1131</v>
      </c>
      <c r="G682" s="6" t="s">
        <v>2705</v>
      </c>
      <c r="H682" s="6" t="s">
        <v>2515</v>
      </c>
      <c r="I682" s="6">
        <v>12</v>
      </c>
      <c r="J682" s="6">
        <v>10</v>
      </c>
      <c r="K682" s="6">
        <v>0</v>
      </c>
    </row>
    <row r="683" spans="1:11" ht="89.25" x14ac:dyDescent="0.2">
      <c r="A683" s="11" t="s">
        <v>1139</v>
      </c>
      <c r="B683" s="6" t="s">
        <v>981</v>
      </c>
      <c r="C683" s="6" t="s">
        <v>4032</v>
      </c>
      <c r="D683" s="6" t="s">
        <v>2373</v>
      </c>
      <c r="E683" s="6" t="s">
        <v>646</v>
      </c>
      <c r="F683" s="6" t="s">
        <v>767</v>
      </c>
      <c r="G683" s="6" t="s">
        <v>3148</v>
      </c>
      <c r="H683" s="6" t="s">
        <v>2378</v>
      </c>
      <c r="I683" s="6">
        <v>12</v>
      </c>
      <c r="J683" s="6">
        <v>7</v>
      </c>
      <c r="K683" s="6">
        <v>0</v>
      </c>
    </row>
    <row r="684" spans="1:11" ht="51" x14ac:dyDescent="0.2">
      <c r="A684" s="6" t="s">
        <v>2994</v>
      </c>
      <c r="B684" s="6" t="s">
        <v>1726</v>
      </c>
      <c r="C684" s="6" t="s">
        <v>4032</v>
      </c>
      <c r="D684" s="6" t="s">
        <v>2369</v>
      </c>
      <c r="E684" s="6" t="s">
        <v>646</v>
      </c>
      <c r="F684" s="6" t="s">
        <v>1135</v>
      </c>
      <c r="G684" s="6" t="s">
        <v>3152</v>
      </c>
      <c r="H684" s="6" t="s">
        <v>785</v>
      </c>
      <c r="I684" s="6">
        <v>12</v>
      </c>
      <c r="J684" s="6">
        <v>1</v>
      </c>
      <c r="K684" s="6">
        <v>0</v>
      </c>
    </row>
    <row r="685" spans="1:11" ht="51" x14ac:dyDescent="0.2">
      <c r="A685" s="6" t="s">
        <v>3165</v>
      </c>
      <c r="B685" s="6" t="s">
        <v>3179</v>
      </c>
      <c r="C685" s="6" t="s">
        <v>4032</v>
      </c>
      <c r="D685" s="6" t="s">
        <v>3167</v>
      </c>
      <c r="E685" s="6" t="s">
        <v>646</v>
      </c>
      <c r="F685" s="6" t="s">
        <v>3166</v>
      </c>
      <c r="G685" s="6" t="s">
        <v>3177</v>
      </c>
      <c r="H685" s="6" t="s">
        <v>3181</v>
      </c>
      <c r="I685" s="6">
        <v>12</v>
      </c>
      <c r="J685" s="6">
        <v>29</v>
      </c>
      <c r="K685" s="6">
        <v>0</v>
      </c>
    </row>
    <row r="686" spans="1:11" ht="51" x14ac:dyDescent="0.2">
      <c r="A686" s="11" t="s">
        <v>1602</v>
      </c>
      <c r="B686" s="6" t="s">
        <v>1734</v>
      </c>
      <c r="C686" s="6" t="s">
        <v>4208</v>
      </c>
      <c r="D686" s="6" t="s">
        <v>2406</v>
      </c>
      <c r="E686" s="6" t="s">
        <v>646</v>
      </c>
      <c r="F686" s="6" t="s">
        <v>1603</v>
      </c>
      <c r="G686" s="6" t="s">
        <v>2362</v>
      </c>
      <c r="H686" s="6" t="s">
        <v>785</v>
      </c>
      <c r="I686" s="6">
        <v>12</v>
      </c>
      <c r="J686" s="6">
        <v>9</v>
      </c>
      <c r="K686" s="6">
        <v>0</v>
      </c>
    </row>
    <row r="687" spans="1:11" ht="38.25" x14ac:dyDescent="0.2">
      <c r="A687" s="11" t="s">
        <v>656</v>
      </c>
      <c r="B687" s="6" t="s">
        <v>876</v>
      </c>
      <c r="C687" s="6" t="s">
        <v>4381</v>
      </c>
      <c r="D687" s="6" t="s">
        <v>2520</v>
      </c>
      <c r="E687" s="6" t="s">
        <v>646</v>
      </c>
      <c r="F687" s="6" t="s">
        <v>591</v>
      </c>
      <c r="G687" s="6" t="s">
        <v>3151</v>
      </c>
      <c r="H687" s="6" t="s">
        <v>785</v>
      </c>
      <c r="I687" s="6">
        <v>12</v>
      </c>
      <c r="J687" s="6">
        <v>4</v>
      </c>
      <c r="K687" s="6">
        <v>0</v>
      </c>
    </row>
    <row r="688" spans="1:11" ht="25.5" x14ac:dyDescent="0.2">
      <c r="A688" s="8" t="s">
        <v>571</v>
      </c>
      <c r="B688" s="6" t="s">
        <v>803</v>
      </c>
      <c r="C688" s="6" t="s">
        <v>4169</v>
      </c>
      <c r="D688" s="6" t="s">
        <v>2010</v>
      </c>
      <c r="E688" s="6" t="s">
        <v>646</v>
      </c>
      <c r="F688" s="6" t="s">
        <v>550</v>
      </c>
      <c r="G688" s="6" t="s">
        <v>2259</v>
      </c>
      <c r="H688" s="6" t="s">
        <v>2011</v>
      </c>
      <c r="I688" s="6">
        <v>12</v>
      </c>
      <c r="J688" s="6">
        <v>5</v>
      </c>
      <c r="K688" s="6">
        <v>0</v>
      </c>
    </row>
    <row r="689" spans="1:11" ht="280.5" x14ac:dyDescent="0.2">
      <c r="A689" s="11" t="s">
        <v>1181</v>
      </c>
      <c r="B689" s="6" t="s">
        <v>1194</v>
      </c>
      <c r="C689" s="6" t="s">
        <v>1486</v>
      </c>
      <c r="D689" s="6" t="s">
        <v>2306</v>
      </c>
      <c r="E689" s="6" t="s">
        <v>646</v>
      </c>
      <c r="F689" s="6" t="s">
        <v>1182</v>
      </c>
      <c r="G689" s="6" t="s">
        <v>4416</v>
      </c>
      <c r="H689" s="6" t="s">
        <v>785</v>
      </c>
      <c r="I689" s="6">
        <v>12</v>
      </c>
      <c r="J689" s="6">
        <v>11</v>
      </c>
      <c r="K689" s="6">
        <v>0</v>
      </c>
    </row>
    <row r="690" spans="1:11" ht="51" x14ac:dyDescent="0.2">
      <c r="A690" s="11" t="s">
        <v>769</v>
      </c>
      <c r="B690" s="6" t="s">
        <v>985</v>
      </c>
      <c r="C690" s="6" t="s">
        <v>4032</v>
      </c>
      <c r="D690" s="6" t="s">
        <v>2378</v>
      </c>
      <c r="E690" s="6" t="s">
        <v>646</v>
      </c>
      <c r="F690" s="6" t="s">
        <v>770</v>
      </c>
      <c r="G690" s="6" t="s">
        <v>3920</v>
      </c>
      <c r="H690" s="6" t="s">
        <v>2379</v>
      </c>
      <c r="I690" s="6">
        <v>13</v>
      </c>
      <c r="J690" s="6">
        <v>7</v>
      </c>
      <c r="K690" s="6">
        <v>0</v>
      </c>
    </row>
    <row r="691" spans="1:11" ht="51" x14ac:dyDescent="0.2">
      <c r="A691" s="11" t="s">
        <v>572</v>
      </c>
      <c r="B691" s="6" t="s">
        <v>804</v>
      </c>
      <c r="C691" s="6" t="s">
        <v>4169</v>
      </c>
      <c r="D691" s="6" t="s">
        <v>2011</v>
      </c>
      <c r="E691" s="6" t="s">
        <v>646</v>
      </c>
      <c r="F691" s="6" t="s">
        <v>550</v>
      </c>
      <c r="G691" s="6" t="s">
        <v>2942</v>
      </c>
      <c r="H691" s="6" t="s">
        <v>2556</v>
      </c>
      <c r="I691" s="6">
        <v>13</v>
      </c>
      <c r="J691" s="6">
        <v>21</v>
      </c>
      <c r="K691" s="6">
        <v>0</v>
      </c>
    </row>
    <row r="692" spans="1:11" ht="38.25" x14ac:dyDescent="0.2">
      <c r="A692" s="11" t="s">
        <v>3131</v>
      </c>
      <c r="B692" s="6" t="s">
        <v>3182</v>
      </c>
      <c r="C692" s="6" t="s">
        <v>4032</v>
      </c>
      <c r="D692" s="6" t="s">
        <v>3133</v>
      </c>
      <c r="E692" s="6" t="s">
        <v>553</v>
      </c>
      <c r="F692" s="6" t="s">
        <v>3132</v>
      </c>
      <c r="G692" s="6" t="s">
        <v>3180</v>
      </c>
      <c r="H692" s="6" t="s">
        <v>785</v>
      </c>
      <c r="I692" s="6">
        <v>13</v>
      </c>
      <c r="J692" s="6">
        <v>5</v>
      </c>
      <c r="K692" s="6">
        <v>0</v>
      </c>
    </row>
    <row r="693" spans="1:11" ht="38.25" x14ac:dyDescent="0.2">
      <c r="A693" s="7" t="s">
        <v>3134</v>
      </c>
      <c r="B693" s="13" t="s">
        <v>3183</v>
      </c>
      <c r="C693" s="13" t="s">
        <v>4032</v>
      </c>
      <c r="D693" s="6" t="s">
        <v>3135</v>
      </c>
      <c r="E693" s="6" t="s">
        <v>553</v>
      </c>
      <c r="F693" s="6" t="s">
        <v>3132</v>
      </c>
      <c r="G693" s="6" t="s">
        <v>3180</v>
      </c>
      <c r="H693" s="6" t="s">
        <v>785</v>
      </c>
      <c r="I693" s="6">
        <v>13</v>
      </c>
      <c r="J693" s="6">
        <v>5</v>
      </c>
      <c r="K693" s="6">
        <v>0</v>
      </c>
    </row>
    <row r="694" spans="1:11" ht="229.5" x14ac:dyDescent="0.2">
      <c r="A694" s="11" t="s">
        <v>652</v>
      </c>
      <c r="B694" s="6" t="s">
        <v>3144</v>
      </c>
      <c r="C694" s="6" t="s">
        <v>4381</v>
      </c>
      <c r="D694" s="6" t="s">
        <v>2515</v>
      </c>
      <c r="E694" s="6" t="s">
        <v>646</v>
      </c>
      <c r="F694" s="6" t="s">
        <v>550</v>
      </c>
      <c r="G694" s="6" t="s">
        <v>3954</v>
      </c>
      <c r="H694" s="6" t="s">
        <v>785</v>
      </c>
      <c r="I694" s="6">
        <v>13</v>
      </c>
      <c r="J694" s="6">
        <v>3</v>
      </c>
      <c r="K694" s="6">
        <v>0</v>
      </c>
    </row>
    <row r="695" spans="1:11" ht="409.5" x14ac:dyDescent="0.2">
      <c r="A695" s="8" t="s">
        <v>736</v>
      </c>
      <c r="B695" s="6" t="s">
        <v>949</v>
      </c>
      <c r="C695" s="6" t="s">
        <v>1488</v>
      </c>
      <c r="D695" s="6" t="s">
        <v>2384</v>
      </c>
      <c r="E695" s="6" t="s">
        <v>646</v>
      </c>
      <c r="F695" s="6" t="s">
        <v>1121</v>
      </c>
      <c r="G695" s="6" t="s">
        <v>4442</v>
      </c>
      <c r="H695" s="6" t="s">
        <v>2775</v>
      </c>
      <c r="I695" s="6">
        <v>14</v>
      </c>
      <c r="J695" s="6">
        <v>17</v>
      </c>
      <c r="K695" s="6">
        <v>0</v>
      </c>
    </row>
    <row r="696" spans="1:11" ht="229.5" x14ac:dyDescent="0.2">
      <c r="A696" s="12" t="s">
        <v>771</v>
      </c>
      <c r="B696" s="14" t="s">
        <v>1728</v>
      </c>
      <c r="C696" s="6" t="s">
        <v>4032</v>
      </c>
      <c r="D696" s="6" t="s">
        <v>2379</v>
      </c>
      <c r="E696" s="6" t="s">
        <v>646</v>
      </c>
      <c r="F696" s="6" t="s">
        <v>3851</v>
      </c>
      <c r="G696" s="6" t="s">
        <v>3176</v>
      </c>
      <c r="H696" s="14" t="s">
        <v>785</v>
      </c>
      <c r="I696" s="6">
        <v>14</v>
      </c>
      <c r="J696" s="6">
        <v>6</v>
      </c>
      <c r="K696" s="6">
        <v>0</v>
      </c>
    </row>
    <row r="697" spans="1:11" ht="25.5" x14ac:dyDescent="0.2">
      <c r="A697" s="12" t="s">
        <v>567</v>
      </c>
      <c r="B697" s="14" t="s">
        <v>801</v>
      </c>
      <c r="C697" s="6" t="s">
        <v>4169</v>
      </c>
      <c r="D697" s="6" t="s">
        <v>2006</v>
      </c>
      <c r="E697" s="6" t="s">
        <v>646</v>
      </c>
      <c r="F697" s="6" t="s">
        <v>568</v>
      </c>
      <c r="G697" s="6" t="s">
        <v>2011</v>
      </c>
      <c r="H697" s="6" t="s">
        <v>2553</v>
      </c>
      <c r="I697" s="6">
        <v>14</v>
      </c>
      <c r="J697" s="6">
        <v>23</v>
      </c>
      <c r="K697" s="6">
        <v>0</v>
      </c>
    </row>
    <row r="698" spans="1:11" ht="51" x14ac:dyDescent="0.2">
      <c r="A698" s="11" t="s">
        <v>1900</v>
      </c>
      <c r="B698" s="6" t="s">
        <v>1911</v>
      </c>
      <c r="C698" s="13" t="s">
        <v>4169</v>
      </c>
      <c r="D698" s="6" t="s">
        <v>2002</v>
      </c>
      <c r="E698" s="6" t="s">
        <v>646</v>
      </c>
      <c r="F698" s="6" t="s">
        <v>1065</v>
      </c>
      <c r="G698" s="6" t="s">
        <v>2555</v>
      </c>
      <c r="H698" s="14" t="s">
        <v>3000</v>
      </c>
      <c r="I698" s="6">
        <v>15</v>
      </c>
      <c r="J698" s="6">
        <v>5</v>
      </c>
      <c r="K698" s="6">
        <v>0</v>
      </c>
    </row>
    <row r="699" spans="1:11" ht="409.5" x14ac:dyDescent="0.2">
      <c r="A699" s="8" t="s">
        <v>1187</v>
      </c>
      <c r="B699" s="6" t="s">
        <v>1202</v>
      </c>
      <c r="C699" s="6" t="s">
        <v>1486</v>
      </c>
      <c r="D699" s="6" t="s">
        <v>2309</v>
      </c>
      <c r="E699" s="6" t="s">
        <v>646</v>
      </c>
      <c r="F699" s="6" t="s">
        <v>1188</v>
      </c>
      <c r="G699" s="6" t="s">
        <v>2964</v>
      </c>
      <c r="H699" s="6" t="s">
        <v>785</v>
      </c>
      <c r="I699" s="6">
        <v>15</v>
      </c>
      <c r="J699" s="6">
        <v>1</v>
      </c>
      <c r="K699" s="6">
        <v>0</v>
      </c>
    </row>
    <row r="700" spans="1:11" ht="25.5" x14ac:dyDescent="0.2">
      <c r="A700" s="7" t="s">
        <v>569</v>
      </c>
      <c r="B700" s="6" t="s">
        <v>802</v>
      </c>
      <c r="C700" s="6" t="s">
        <v>4169</v>
      </c>
      <c r="D700" s="6" t="s">
        <v>2007</v>
      </c>
      <c r="E700" s="6" t="s">
        <v>646</v>
      </c>
      <c r="F700" s="6" t="s">
        <v>1068</v>
      </c>
      <c r="G700" s="6" t="s">
        <v>2552</v>
      </c>
      <c r="H700" s="6" t="s">
        <v>785</v>
      </c>
      <c r="I700" s="6">
        <v>15</v>
      </c>
      <c r="J700" s="6">
        <v>6</v>
      </c>
      <c r="K700" s="6">
        <v>0</v>
      </c>
    </row>
    <row r="701" spans="1:11" x14ac:dyDescent="0.2">
      <c r="A701" s="11" t="s">
        <v>738</v>
      </c>
      <c r="B701" s="6" t="s">
        <v>950</v>
      </c>
      <c r="C701" s="6" t="s">
        <v>1488</v>
      </c>
      <c r="D701" s="6" t="s">
        <v>2386</v>
      </c>
      <c r="E701" s="6" t="s">
        <v>646</v>
      </c>
      <c r="F701" s="6" t="s">
        <v>1122</v>
      </c>
      <c r="G701" s="6" t="s">
        <v>2384</v>
      </c>
      <c r="H701" s="6" t="s">
        <v>785</v>
      </c>
      <c r="I701" s="6">
        <v>15</v>
      </c>
      <c r="J701" s="6">
        <v>10</v>
      </c>
      <c r="K701" s="6">
        <v>0</v>
      </c>
    </row>
    <row r="702" spans="1:11" ht="25.5" x14ac:dyDescent="0.2">
      <c r="A702" s="11" t="s">
        <v>701</v>
      </c>
      <c r="B702" s="6" t="s">
        <v>914</v>
      </c>
      <c r="C702" s="6" t="s">
        <v>2912</v>
      </c>
      <c r="D702" s="6" t="s">
        <v>2250</v>
      </c>
      <c r="E702" s="6" t="s">
        <v>646</v>
      </c>
      <c r="F702" s="6" t="s">
        <v>1065</v>
      </c>
      <c r="G702" s="6" t="s">
        <v>2774</v>
      </c>
      <c r="H702" s="6" t="s">
        <v>785</v>
      </c>
      <c r="I702" s="6">
        <v>15</v>
      </c>
      <c r="J702" s="6">
        <v>5</v>
      </c>
      <c r="K702" s="6">
        <v>0</v>
      </c>
    </row>
    <row r="703" spans="1:11" ht="102" x14ac:dyDescent="0.2">
      <c r="A703" s="11" t="s">
        <v>2998</v>
      </c>
      <c r="B703" s="6" t="s">
        <v>2930</v>
      </c>
      <c r="C703" s="6" t="s">
        <v>3159</v>
      </c>
      <c r="D703" s="6" t="s">
        <v>3000</v>
      </c>
      <c r="E703" s="6" t="s">
        <v>646</v>
      </c>
      <c r="F703" s="6" t="s">
        <v>2999</v>
      </c>
      <c r="G703" s="6" t="s">
        <v>2002</v>
      </c>
      <c r="H703" s="6" t="s">
        <v>785</v>
      </c>
      <c r="I703" s="6">
        <v>16</v>
      </c>
      <c r="J703" s="6">
        <v>746</v>
      </c>
      <c r="K703" s="6">
        <v>0</v>
      </c>
    </row>
  </sheetData>
  <autoFilter ref="A1:K1" xr:uid="{946AF8FC-E9A6-4F2D-BFA8-AEA1D4097387}">
    <sortState xmlns:xlrd2="http://schemas.microsoft.com/office/spreadsheetml/2017/richdata2" ref="A2:K703">
      <sortCondition ref="I1"/>
      <sortCondition ref="A1"/>
    </sortState>
  </autoFilter>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1D894-2498-45C7-AECD-E3A650315E83}">
  <sheetPr codeName="Sheet4"/>
  <dimension ref="A1:G65"/>
  <sheetViews>
    <sheetView workbookViewId="0">
      <selection sqref="A1:XFD1048576"/>
    </sheetView>
  </sheetViews>
  <sheetFormatPr defaultRowHeight="12.75" x14ac:dyDescent="0.2"/>
  <cols>
    <col min="1" max="1" width="30.7109375" style="16" customWidth="1"/>
    <col min="2" max="2" width="25.7109375" style="16" customWidth="1"/>
    <col min="3" max="3" width="5.7109375" style="16" customWidth="1"/>
    <col min="4" max="4" width="10.7109375" style="17" customWidth="1"/>
    <col min="5" max="5" width="40.7109375" style="16" customWidth="1"/>
    <col min="6" max="6" width="10.7109375" style="16" customWidth="1"/>
    <col min="7" max="7" width="20.7109375" style="16" customWidth="1"/>
    <col min="8" max="16384" width="9.140625" style="16"/>
  </cols>
  <sheetData>
    <row r="1" spans="1:7" ht="25.5" x14ac:dyDescent="0.2">
      <c r="A1" s="16" t="s">
        <v>993</v>
      </c>
      <c r="B1" s="16" t="s">
        <v>994</v>
      </c>
      <c r="C1" s="16" t="s">
        <v>996</v>
      </c>
      <c r="D1" s="17" t="s">
        <v>995</v>
      </c>
      <c r="E1" s="16" t="s">
        <v>997</v>
      </c>
      <c r="F1" s="16" t="s">
        <v>1156</v>
      </c>
      <c r="G1" s="16" t="s">
        <v>1157</v>
      </c>
    </row>
    <row r="2" spans="1:7" ht="25.5" x14ac:dyDescent="0.2">
      <c r="A2" s="16" t="s">
        <v>1159</v>
      </c>
      <c r="B2" s="16" t="s">
        <v>1160</v>
      </c>
      <c r="C2" s="16" t="s">
        <v>1001</v>
      </c>
      <c r="D2" s="18" t="s">
        <v>1158</v>
      </c>
      <c r="E2" s="18" t="s">
        <v>1158</v>
      </c>
      <c r="F2" s="19">
        <v>45264</v>
      </c>
      <c r="G2" s="19">
        <v>45264</v>
      </c>
    </row>
    <row r="3" spans="1:7" ht="25.5" x14ac:dyDescent="0.2">
      <c r="A3" s="16" t="s">
        <v>704</v>
      </c>
      <c r="B3" s="16" t="s">
        <v>1037</v>
      </c>
      <c r="C3" s="16" t="s">
        <v>1001</v>
      </c>
      <c r="D3" s="18" t="s">
        <v>1158</v>
      </c>
      <c r="E3" s="18" t="s">
        <v>1158</v>
      </c>
      <c r="F3" s="19">
        <v>45264</v>
      </c>
      <c r="G3" s="19">
        <v>45264</v>
      </c>
    </row>
    <row r="4" spans="1:7" ht="25.5" x14ac:dyDescent="0.2">
      <c r="A4" s="16" t="s">
        <v>554</v>
      </c>
      <c r="B4" s="16" t="s">
        <v>1002</v>
      </c>
      <c r="C4" s="16" t="s">
        <v>1001</v>
      </c>
      <c r="D4" s="18" t="s">
        <v>1158</v>
      </c>
      <c r="E4" s="18" t="s">
        <v>1158</v>
      </c>
      <c r="F4" s="19">
        <v>45358</v>
      </c>
      <c r="G4" s="19">
        <v>45358</v>
      </c>
    </row>
    <row r="5" spans="1:7" ht="25.5" x14ac:dyDescent="0.2">
      <c r="A5" s="16" t="s">
        <v>551</v>
      </c>
      <c r="B5" s="16" t="s">
        <v>1000</v>
      </c>
      <c r="C5" s="16" t="s">
        <v>1001</v>
      </c>
      <c r="D5" s="18" t="s">
        <v>1158</v>
      </c>
      <c r="E5" s="18" t="s">
        <v>1158</v>
      </c>
      <c r="F5" s="19">
        <v>45296</v>
      </c>
      <c r="G5" s="19">
        <v>45296</v>
      </c>
    </row>
    <row r="6" spans="1:7" ht="25.5" x14ac:dyDescent="0.2">
      <c r="A6" s="16" t="s">
        <v>4173</v>
      </c>
      <c r="B6" s="16" t="s">
        <v>4174</v>
      </c>
      <c r="C6" s="16" t="s">
        <v>1001</v>
      </c>
      <c r="D6" s="18" t="s">
        <v>1158</v>
      </c>
      <c r="E6" s="18" t="s">
        <v>1158</v>
      </c>
      <c r="F6" s="19">
        <v>45358</v>
      </c>
      <c r="G6" s="19">
        <v>45358</v>
      </c>
    </row>
    <row r="7" spans="1:7" ht="25.5" x14ac:dyDescent="0.2">
      <c r="A7" s="16" t="s">
        <v>643</v>
      </c>
      <c r="B7" s="16" t="s">
        <v>1020</v>
      </c>
      <c r="C7" s="16" t="s">
        <v>1001</v>
      </c>
      <c r="D7" s="18" t="s">
        <v>1158</v>
      </c>
      <c r="E7" s="18" t="s">
        <v>1158</v>
      </c>
      <c r="F7" s="19">
        <v>45069</v>
      </c>
      <c r="G7" s="19">
        <v>45069</v>
      </c>
    </row>
    <row r="8" spans="1:7" ht="25.5" x14ac:dyDescent="0.2">
      <c r="A8" s="16" t="s">
        <v>3831</v>
      </c>
      <c r="B8" s="16" t="s">
        <v>3832</v>
      </c>
      <c r="C8" s="16" t="s">
        <v>1001</v>
      </c>
      <c r="D8" s="18" t="s">
        <v>1158</v>
      </c>
      <c r="E8" s="18" t="s">
        <v>1158</v>
      </c>
      <c r="F8" s="19">
        <v>45346</v>
      </c>
      <c r="G8" s="19">
        <v>45346</v>
      </c>
    </row>
    <row r="9" spans="1:7" ht="25.5" x14ac:dyDescent="0.2">
      <c r="A9" s="16" t="s">
        <v>3834</v>
      </c>
      <c r="B9" s="16" t="s">
        <v>3835</v>
      </c>
      <c r="C9" s="16" t="s">
        <v>1001</v>
      </c>
      <c r="D9" s="18" t="s">
        <v>1158</v>
      </c>
      <c r="E9" s="18" t="s">
        <v>1158</v>
      </c>
      <c r="F9" s="19">
        <v>45345</v>
      </c>
      <c r="G9" s="19">
        <v>45345</v>
      </c>
    </row>
    <row r="10" spans="1:7" ht="25.5" x14ac:dyDescent="0.2">
      <c r="A10" s="16" t="s">
        <v>705</v>
      </c>
      <c r="B10" s="16" t="s">
        <v>1042</v>
      </c>
      <c r="C10" s="16" t="s">
        <v>1001</v>
      </c>
      <c r="D10" s="18" t="s">
        <v>1158</v>
      </c>
      <c r="E10" s="18" t="s">
        <v>1158</v>
      </c>
      <c r="F10" s="19">
        <v>45314</v>
      </c>
      <c r="G10" s="19">
        <v>45314</v>
      </c>
    </row>
    <row r="11" spans="1:7" ht="25.5" x14ac:dyDescent="0.2">
      <c r="A11" s="16" t="s">
        <v>1038</v>
      </c>
      <c r="B11" s="16" t="s">
        <v>1039</v>
      </c>
      <c r="C11" s="16" t="s">
        <v>1001</v>
      </c>
      <c r="D11" s="18" t="s">
        <v>1158</v>
      </c>
      <c r="E11" s="18" t="s">
        <v>1158</v>
      </c>
      <c r="F11" s="19">
        <v>45213</v>
      </c>
      <c r="G11" s="19">
        <v>45213</v>
      </c>
    </row>
    <row r="12" spans="1:7" ht="25.5" x14ac:dyDescent="0.2">
      <c r="A12" s="16" t="s">
        <v>3836</v>
      </c>
      <c r="B12" s="16" t="s">
        <v>3837</v>
      </c>
      <c r="C12" s="16" t="s">
        <v>1001</v>
      </c>
      <c r="D12" s="18" t="s">
        <v>1158</v>
      </c>
      <c r="E12" s="18" t="s">
        <v>1158</v>
      </c>
      <c r="F12" s="19">
        <v>45346</v>
      </c>
      <c r="G12" s="19">
        <v>45346</v>
      </c>
    </row>
    <row r="13" spans="1:7" ht="51" x14ac:dyDescent="0.2">
      <c r="A13" s="16" t="s">
        <v>4324</v>
      </c>
      <c r="B13" s="16" t="s">
        <v>3833</v>
      </c>
      <c r="C13" s="16" t="s">
        <v>998</v>
      </c>
      <c r="D13" s="18" t="s">
        <v>4320</v>
      </c>
      <c r="E13" s="18" t="s">
        <v>4356</v>
      </c>
      <c r="F13" s="19">
        <v>45360</v>
      </c>
      <c r="G13" s="19" t="s">
        <v>4357</v>
      </c>
    </row>
    <row r="14" spans="1:7" ht="25.5" x14ac:dyDescent="0.2">
      <c r="A14" s="16" t="s">
        <v>1028</v>
      </c>
      <c r="B14" s="16" t="s">
        <v>1029</v>
      </c>
      <c r="C14" s="16" t="s">
        <v>1005</v>
      </c>
      <c r="D14" s="18" t="s">
        <v>1158</v>
      </c>
      <c r="E14" s="18" t="s">
        <v>1158</v>
      </c>
      <c r="F14" s="19">
        <v>45361</v>
      </c>
      <c r="G14" s="19">
        <v>45361</v>
      </c>
    </row>
    <row r="15" spans="1:7" ht="25.5" x14ac:dyDescent="0.2">
      <c r="A15" s="16" t="s">
        <v>4381</v>
      </c>
      <c r="B15" s="16" t="s">
        <v>1029</v>
      </c>
      <c r="C15" s="16" t="s">
        <v>998</v>
      </c>
      <c r="D15" s="18" t="s">
        <v>4382</v>
      </c>
      <c r="E15" s="18" t="s">
        <v>4420</v>
      </c>
      <c r="F15" s="19">
        <v>45350</v>
      </c>
      <c r="G15" s="19" t="s">
        <v>4127</v>
      </c>
    </row>
    <row r="16" spans="1:7" ht="38.25" x14ac:dyDescent="0.2">
      <c r="A16" s="16" t="s">
        <v>4170</v>
      </c>
      <c r="B16" s="16" t="s">
        <v>1031</v>
      </c>
      <c r="C16" s="16" t="s">
        <v>998</v>
      </c>
      <c r="D16" s="18" t="s">
        <v>1016</v>
      </c>
      <c r="E16" s="18" t="s">
        <v>4024</v>
      </c>
      <c r="F16" s="19">
        <v>45355</v>
      </c>
      <c r="G16" s="19" t="s">
        <v>4205</v>
      </c>
    </row>
    <row r="17" spans="1:7" ht="38.25" x14ac:dyDescent="0.2">
      <c r="A17" s="16" t="s">
        <v>4169</v>
      </c>
      <c r="B17" s="16" t="s">
        <v>1011</v>
      </c>
      <c r="C17" s="16" t="s">
        <v>998</v>
      </c>
      <c r="D17" s="18" t="s">
        <v>4029</v>
      </c>
      <c r="E17" s="18" t="s">
        <v>4206</v>
      </c>
      <c r="F17" s="19">
        <v>45358</v>
      </c>
      <c r="G17" s="19" t="s">
        <v>4207</v>
      </c>
    </row>
    <row r="18" spans="1:7" x14ac:dyDescent="0.2">
      <c r="A18" s="16" t="s">
        <v>3110</v>
      </c>
      <c r="B18" s="16" t="s">
        <v>3111</v>
      </c>
      <c r="C18" s="16" t="s">
        <v>998</v>
      </c>
      <c r="D18" s="18" t="s">
        <v>1023</v>
      </c>
      <c r="E18" s="18" t="s">
        <v>1023</v>
      </c>
      <c r="F18" s="19">
        <v>45335</v>
      </c>
      <c r="G18" s="19">
        <v>45335</v>
      </c>
    </row>
    <row r="19" spans="1:7" ht="76.5" x14ac:dyDescent="0.2">
      <c r="A19" s="16" t="s">
        <v>4032</v>
      </c>
      <c r="B19" s="16" t="s">
        <v>1048</v>
      </c>
      <c r="C19" s="16" t="s">
        <v>998</v>
      </c>
      <c r="D19" s="18" t="s">
        <v>4033</v>
      </c>
      <c r="E19" s="18" t="s">
        <v>4128</v>
      </c>
      <c r="F19" s="19">
        <v>45354</v>
      </c>
      <c r="G19" s="19" t="s">
        <v>4129</v>
      </c>
    </row>
    <row r="20" spans="1:7" ht="89.25" x14ac:dyDescent="0.2">
      <c r="A20" s="16" t="s">
        <v>4322</v>
      </c>
      <c r="B20" s="16" t="s">
        <v>1032</v>
      </c>
      <c r="C20" s="16" t="s">
        <v>998</v>
      </c>
      <c r="D20" s="18" t="s">
        <v>4323</v>
      </c>
      <c r="E20" s="18" t="s">
        <v>4358</v>
      </c>
      <c r="F20" s="19">
        <v>45358</v>
      </c>
      <c r="G20" s="19" t="s">
        <v>4359</v>
      </c>
    </row>
    <row r="21" spans="1:7" ht="102" x14ac:dyDescent="0.2">
      <c r="A21" s="16" t="s">
        <v>4383</v>
      </c>
      <c r="B21" s="16" t="s">
        <v>1017</v>
      </c>
      <c r="C21" s="16" t="s">
        <v>998</v>
      </c>
      <c r="D21" s="18" t="s">
        <v>4384</v>
      </c>
      <c r="E21" s="18" t="s">
        <v>4421</v>
      </c>
      <c r="F21" s="19">
        <v>45361</v>
      </c>
      <c r="G21" s="19" t="s">
        <v>4422</v>
      </c>
    </row>
    <row r="22" spans="1:7" ht="38.25" x14ac:dyDescent="0.2">
      <c r="A22" s="16" t="s">
        <v>1486</v>
      </c>
      <c r="B22" s="16" t="s">
        <v>1052</v>
      </c>
      <c r="C22" s="16" t="s">
        <v>998</v>
      </c>
      <c r="D22" s="18" t="s">
        <v>1471</v>
      </c>
      <c r="E22" s="18" t="s">
        <v>1477</v>
      </c>
      <c r="F22" s="19">
        <v>45298</v>
      </c>
      <c r="G22" s="19" t="s">
        <v>1478</v>
      </c>
    </row>
    <row r="23" spans="1:7" ht="38.25" x14ac:dyDescent="0.2">
      <c r="A23" s="16" t="s">
        <v>1752</v>
      </c>
      <c r="B23" s="16" t="s">
        <v>1753</v>
      </c>
      <c r="C23" s="16" t="s">
        <v>998</v>
      </c>
      <c r="D23" s="18" t="s">
        <v>1019</v>
      </c>
      <c r="E23" s="18" t="s">
        <v>1896</v>
      </c>
      <c r="F23" s="19">
        <v>45295</v>
      </c>
      <c r="G23" s="19" t="s">
        <v>1897</v>
      </c>
    </row>
    <row r="24" spans="1:7" x14ac:dyDescent="0.2">
      <c r="A24" s="16" t="s">
        <v>1741</v>
      </c>
      <c r="B24" s="16" t="s">
        <v>1742</v>
      </c>
      <c r="C24" s="16" t="s">
        <v>998</v>
      </c>
      <c r="D24" s="18" t="s">
        <v>999</v>
      </c>
      <c r="E24" s="18" t="s">
        <v>999</v>
      </c>
      <c r="F24" s="19">
        <v>45289</v>
      </c>
      <c r="G24" s="19">
        <v>45289</v>
      </c>
    </row>
    <row r="25" spans="1:7" ht="51" x14ac:dyDescent="0.2">
      <c r="A25" s="16" t="s">
        <v>1739</v>
      </c>
      <c r="B25" s="16" t="s">
        <v>1018</v>
      </c>
      <c r="C25" s="16" t="s">
        <v>998</v>
      </c>
      <c r="D25" s="18" t="s">
        <v>1740</v>
      </c>
      <c r="E25" s="18" t="s">
        <v>1891</v>
      </c>
      <c r="F25" s="19">
        <v>45300</v>
      </c>
      <c r="G25" s="19" t="s">
        <v>1892</v>
      </c>
    </row>
    <row r="26" spans="1:7" ht="25.5" x14ac:dyDescent="0.2">
      <c r="A26" s="16" t="s">
        <v>1483</v>
      </c>
      <c r="B26" s="16" t="s">
        <v>1013</v>
      </c>
      <c r="C26" s="16" t="s">
        <v>998</v>
      </c>
      <c r="D26" s="18" t="s">
        <v>1016</v>
      </c>
      <c r="E26" s="18" t="s">
        <v>1472</v>
      </c>
      <c r="F26" s="19">
        <v>45289</v>
      </c>
      <c r="G26" s="19" t="s">
        <v>1473</v>
      </c>
    </row>
    <row r="27" spans="1:7" ht="25.5" x14ac:dyDescent="0.2">
      <c r="A27" s="16" t="s">
        <v>1487</v>
      </c>
      <c r="B27" s="16" t="s">
        <v>1033</v>
      </c>
      <c r="C27" s="16" t="s">
        <v>998</v>
      </c>
      <c r="D27" s="18" t="s">
        <v>1019</v>
      </c>
      <c r="E27" s="18" t="s">
        <v>1479</v>
      </c>
      <c r="F27" s="19">
        <v>45292</v>
      </c>
      <c r="G27" s="19" t="s">
        <v>1480</v>
      </c>
    </row>
    <row r="28" spans="1:7" ht="51" x14ac:dyDescent="0.2">
      <c r="A28" s="16" t="s">
        <v>4030</v>
      </c>
      <c r="B28" s="16" t="s">
        <v>1012</v>
      </c>
      <c r="C28" s="16" t="s">
        <v>998</v>
      </c>
      <c r="D28" s="18" t="s">
        <v>4031</v>
      </c>
      <c r="E28" s="18" t="s">
        <v>4130</v>
      </c>
      <c r="F28" s="19">
        <v>45356</v>
      </c>
      <c r="G28" s="19" t="s">
        <v>4131</v>
      </c>
    </row>
    <row r="29" spans="1:7" ht="38.25" x14ac:dyDescent="0.2">
      <c r="A29" s="16" t="s">
        <v>4380</v>
      </c>
      <c r="B29" s="16" t="s">
        <v>1743</v>
      </c>
      <c r="C29" s="16" t="s">
        <v>998</v>
      </c>
      <c r="D29" s="18" t="s">
        <v>4320</v>
      </c>
      <c r="E29" s="18" t="s">
        <v>4423</v>
      </c>
      <c r="F29" s="19">
        <v>45361</v>
      </c>
      <c r="G29" s="19" t="s">
        <v>4424</v>
      </c>
    </row>
    <row r="30" spans="1:7" ht="63.75" x14ac:dyDescent="0.2">
      <c r="A30" s="16" t="s">
        <v>2909</v>
      </c>
      <c r="B30" s="16" t="s">
        <v>1030</v>
      </c>
      <c r="C30" s="16" t="s">
        <v>998</v>
      </c>
      <c r="D30" s="18" t="s">
        <v>1909</v>
      </c>
      <c r="E30" s="18" t="s">
        <v>2975</v>
      </c>
      <c r="F30" s="19">
        <v>45316</v>
      </c>
      <c r="G30" s="19" t="s">
        <v>2976</v>
      </c>
    </row>
    <row r="31" spans="1:7" ht="38.25" x14ac:dyDescent="0.2">
      <c r="A31" s="16" t="s">
        <v>4018</v>
      </c>
      <c r="B31" s="16" t="s">
        <v>1047</v>
      </c>
      <c r="C31" s="16" t="s">
        <v>998</v>
      </c>
      <c r="D31" s="18" t="s">
        <v>1016</v>
      </c>
      <c r="E31" s="18" t="s">
        <v>4024</v>
      </c>
      <c r="F31" s="19">
        <v>45347</v>
      </c>
      <c r="G31" s="19" t="s">
        <v>4025</v>
      </c>
    </row>
    <row r="32" spans="1:7" ht="25.5" x14ac:dyDescent="0.2">
      <c r="A32" s="16" t="s">
        <v>1021</v>
      </c>
      <c r="B32" s="16" t="s">
        <v>1022</v>
      </c>
      <c r="C32" s="16" t="s">
        <v>1005</v>
      </c>
      <c r="D32" s="18" t="s">
        <v>1158</v>
      </c>
      <c r="E32" s="18" t="s">
        <v>1158</v>
      </c>
      <c r="F32" s="19">
        <v>45264</v>
      </c>
      <c r="G32" s="19">
        <v>45264</v>
      </c>
    </row>
    <row r="33" spans="1:7" ht="25.5" x14ac:dyDescent="0.2">
      <c r="A33" s="16" t="s">
        <v>1173</v>
      </c>
      <c r="B33" s="16" t="s">
        <v>1022</v>
      </c>
      <c r="C33" s="16" t="s">
        <v>998</v>
      </c>
      <c r="D33" s="18" t="s">
        <v>1027</v>
      </c>
      <c r="E33" s="18" t="s">
        <v>1164</v>
      </c>
      <c r="F33" s="19">
        <v>45267</v>
      </c>
      <c r="G33" s="19" t="s">
        <v>1197</v>
      </c>
    </row>
    <row r="34" spans="1:7" ht="38.25" x14ac:dyDescent="0.2">
      <c r="A34" s="16" t="s">
        <v>2891</v>
      </c>
      <c r="B34" s="16" t="s">
        <v>1049</v>
      </c>
      <c r="C34" s="16" t="s">
        <v>998</v>
      </c>
      <c r="D34" s="18" t="s">
        <v>1019</v>
      </c>
      <c r="E34" s="18" t="s">
        <v>2892</v>
      </c>
      <c r="F34" s="19">
        <v>45313</v>
      </c>
      <c r="G34" s="19" t="s">
        <v>2893</v>
      </c>
    </row>
    <row r="35" spans="1:7" ht="38.25" x14ac:dyDescent="0.2">
      <c r="A35" s="16" t="s">
        <v>1488</v>
      </c>
      <c r="B35" s="16" t="s">
        <v>1045</v>
      </c>
      <c r="C35" s="16" t="s">
        <v>998</v>
      </c>
      <c r="D35" s="18" t="s">
        <v>1016</v>
      </c>
      <c r="E35" s="18" t="s">
        <v>1481</v>
      </c>
      <c r="F35" s="19">
        <v>45272</v>
      </c>
      <c r="G35" s="19" t="s">
        <v>1482</v>
      </c>
    </row>
    <row r="36" spans="1:7" ht="63.75" x14ac:dyDescent="0.2">
      <c r="A36" s="16" t="s">
        <v>4028</v>
      </c>
      <c r="B36" s="16" t="s">
        <v>1046</v>
      </c>
      <c r="C36" s="16" t="s">
        <v>998</v>
      </c>
      <c r="D36" s="18" t="s">
        <v>4029</v>
      </c>
      <c r="E36" s="18" t="s">
        <v>4132</v>
      </c>
      <c r="F36" s="19">
        <v>45357</v>
      </c>
      <c r="G36" s="19" t="s">
        <v>4133</v>
      </c>
    </row>
    <row r="37" spans="1:7" x14ac:dyDescent="0.2">
      <c r="A37" s="16" t="s">
        <v>1484</v>
      </c>
      <c r="B37" s="16" t="s">
        <v>1014</v>
      </c>
      <c r="C37" s="16" t="s">
        <v>998</v>
      </c>
      <c r="D37" s="18" t="s">
        <v>1016</v>
      </c>
      <c r="E37" s="18" t="s">
        <v>1474</v>
      </c>
      <c r="F37" s="19">
        <v>45296</v>
      </c>
      <c r="G37" s="19" t="s">
        <v>1475</v>
      </c>
    </row>
    <row r="38" spans="1:7" x14ac:dyDescent="0.2">
      <c r="A38" s="16" t="s">
        <v>560</v>
      </c>
      <c r="B38" s="16" t="s">
        <v>1008</v>
      </c>
      <c r="C38" s="16" t="s">
        <v>998</v>
      </c>
      <c r="D38" s="18" t="s">
        <v>1009</v>
      </c>
      <c r="E38" s="18" t="s">
        <v>1162</v>
      </c>
      <c r="F38" s="19">
        <v>45173</v>
      </c>
      <c r="G38" s="19" t="s">
        <v>1161</v>
      </c>
    </row>
    <row r="39" spans="1:7" ht="25.5" x14ac:dyDescent="0.2">
      <c r="A39" s="16" t="s">
        <v>1006</v>
      </c>
      <c r="B39" s="16" t="s">
        <v>1007</v>
      </c>
      <c r="C39" s="16" t="s">
        <v>1005</v>
      </c>
      <c r="D39" s="18" t="s">
        <v>1158</v>
      </c>
      <c r="E39" s="18" t="s">
        <v>1158</v>
      </c>
      <c r="F39" s="19">
        <v>45264</v>
      </c>
      <c r="G39" s="19">
        <v>45264</v>
      </c>
    </row>
    <row r="40" spans="1:7" ht="51" x14ac:dyDescent="0.2">
      <c r="A40" s="16" t="s">
        <v>4319</v>
      </c>
      <c r="B40" s="16" t="s">
        <v>1744</v>
      </c>
      <c r="C40" s="16" t="s">
        <v>998</v>
      </c>
      <c r="D40" s="18" t="s">
        <v>4320</v>
      </c>
      <c r="E40" s="18" t="s">
        <v>4360</v>
      </c>
      <c r="F40" s="19">
        <v>45358</v>
      </c>
      <c r="G40" s="19" t="s">
        <v>4361</v>
      </c>
    </row>
    <row r="41" spans="1:7" ht="63.75" x14ac:dyDescent="0.2">
      <c r="A41" s="16" t="s">
        <v>1745</v>
      </c>
      <c r="B41" s="16" t="s">
        <v>1746</v>
      </c>
      <c r="C41" s="16" t="s">
        <v>998</v>
      </c>
      <c r="D41" s="18" t="s">
        <v>1747</v>
      </c>
      <c r="E41" s="18" t="s">
        <v>1893</v>
      </c>
      <c r="F41" s="19">
        <v>45296</v>
      </c>
      <c r="G41" s="19" t="s">
        <v>1894</v>
      </c>
    </row>
    <row r="42" spans="1:7" ht="25.5" x14ac:dyDescent="0.2">
      <c r="A42" s="16" t="s">
        <v>1748</v>
      </c>
      <c r="B42" s="16" t="s">
        <v>1749</v>
      </c>
      <c r="C42" s="16" t="s">
        <v>998</v>
      </c>
      <c r="D42" s="18" t="s">
        <v>1023</v>
      </c>
      <c r="E42" s="18" t="s">
        <v>1163</v>
      </c>
      <c r="F42" s="19">
        <v>45294</v>
      </c>
      <c r="G42" s="19" t="s">
        <v>1895</v>
      </c>
    </row>
    <row r="43" spans="1:7" ht="25.5" x14ac:dyDescent="0.2">
      <c r="A43" s="16" t="s">
        <v>2910</v>
      </c>
      <c r="B43" s="16" t="s">
        <v>1750</v>
      </c>
      <c r="C43" s="16" t="s">
        <v>998</v>
      </c>
      <c r="D43" s="18" t="s">
        <v>1027</v>
      </c>
      <c r="E43" s="18" t="s">
        <v>2977</v>
      </c>
      <c r="F43" s="19">
        <v>45316</v>
      </c>
      <c r="G43" s="19" t="s">
        <v>2978</v>
      </c>
    </row>
    <row r="44" spans="1:7" ht="38.25" x14ac:dyDescent="0.2">
      <c r="A44" s="16" t="s">
        <v>4387</v>
      </c>
      <c r="B44" s="16" t="s">
        <v>4034</v>
      </c>
      <c r="C44" s="16" t="s">
        <v>998</v>
      </c>
      <c r="D44" s="18" t="s">
        <v>1019</v>
      </c>
      <c r="E44" s="18" t="s">
        <v>4425</v>
      </c>
      <c r="F44" s="19">
        <v>45361</v>
      </c>
      <c r="G44" s="19" t="s">
        <v>4426</v>
      </c>
    </row>
    <row r="45" spans="1:7" ht="25.5" x14ac:dyDescent="0.2">
      <c r="A45" s="16" t="s">
        <v>2982</v>
      </c>
      <c r="B45" s="16" t="s">
        <v>2911</v>
      </c>
      <c r="C45" s="16" t="s">
        <v>998</v>
      </c>
      <c r="D45" s="18" t="s">
        <v>1023</v>
      </c>
      <c r="E45" s="18" t="s">
        <v>3004</v>
      </c>
      <c r="F45" s="19">
        <v>45318</v>
      </c>
      <c r="G45" s="19" t="s">
        <v>3005</v>
      </c>
    </row>
    <row r="46" spans="1:7" ht="38.25" x14ac:dyDescent="0.2">
      <c r="A46" s="16" t="s">
        <v>4027</v>
      </c>
      <c r="B46" s="16" t="s">
        <v>1015</v>
      </c>
      <c r="C46" s="16" t="s">
        <v>998</v>
      </c>
      <c r="D46" s="18" t="s">
        <v>1747</v>
      </c>
      <c r="E46" s="18" t="s">
        <v>4134</v>
      </c>
      <c r="F46" s="19">
        <v>45351</v>
      </c>
      <c r="G46" s="19" t="s">
        <v>4135</v>
      </c>
    </row>
    <row r="47" spans="1:7" ht="25.5" x14ac:dyDescent="0.2">
      <c r="A47" s="16" t="s">
        <v>1003</v>
      </c>
      <c r="B47" s="16" t="s">
        <v>1004</v>
      </c>
      <c r="C47" s="16" t="s">
        <v>1005</v>
      </c>
      <c r="D47" s="18" t="s">
        <v>1158</v>
      </c>
      <c r="E47" s="18" t="s">
        <v>1158</v>
      </c>
      <c r="F47" s="19">
        <v>45264</v>
      </c>
      <c r="G47" s="19">
        <v>45264</v>
      </c>
    </row>
    <row r="48" spans="1:7" ht="25.5" x14ac:dyDescent="0.2">
      <c r="A48" s="16" t="s">
        <v>1925</v>
      </c>
      <c r="B48" s="16" t="s">
        <v>1004</v>
      </c>
      <c r="C48" s="16" t="s">
        <v>998</v>
      </c>
      <c r="D48" s="18" t="s">
        <v>1027</v>
      </c>
      <c r="E48" s="18" t="s">
        <v>1932</v>
      </c>
      <c r="F48" s="19">
        <v>45301</v>
      </c>
      <c r="G48" s="19" t="s">
        <v>1933</v>
      </c>
    </row>
    <row r="49" spans="1:7" x14ac:dyDescent="0.2">
      <c r="A49" s="16" t="s">
        <v>1205</v>
      </c>
      <c r="B49" s="16" t="s">
        <v>1034</v>
      </c>
      <c r="C49" s="16" t="s">
        <v>998</v>
      </c>
      <c r="D49" s="18" t="s">
        <v>1206</v>
      </c>
      <c r="E49" s="18" t="s">
        <v>1209</v>
      </c>
      <c r="F49" s="19">
        <v>45270</v>
      </c>
      <c r="G49" s="19" t="s">
        <v>1210</v>
      </c>
    </row>
    <row r="50" spans="1:7" ht="63.75" x14ac:dyDescent="0.2">
      <c r="A50" s="16" t="s">
        <v>4385</v>
      </c>
      <c r="B50" s="16" t="s">
        <v>1050</v>
      </c>
      <c r="C50" s="16" t="s">
        <v>998</v>
      </c>
      <c r="D50" s="18" t="s">
        <v>4386</v>
      </c>
      <c r="E50" s="18" t="s">
        <v>4427</v>
      </c>
      <c r="F50" s="19">
        <v>45361</v>
      </c>
      <c r="G50" s="19" t="s">
        <v>4428</v>
      </c>
    </row>
    <row r="51" spans="1:7" ht="25.5" x14ac:dyDescent="0.2">
      <c r="A51" s="16" t="s">
        <v>2912</v>
      </c>
      <c r="B51" s="16" t="s">
        <v>1036</v>
      </c>
      <c r="C51" s="16" t="s">
        <v>998</v>
      </c>
      <c r="D51" s="18" t="s">
        <v>2913</v>
      </c>
      <c r="E51" s="18" t="s">
        <v>2979</v>
      </c>
      <c r="F51" s="19">
        <v>45316</v>
      </c>
      <c r="G51" s="19" t="s">
        <v>2980</v>
      </c>
    </row>
    <row r="52" spans="1:7" x14ac:dyDescent="0.2">
      <c r="A52" s="16" t="s">
        <v>1915</v>
      </c>
      <c r="B52" s="16" t="s">
        <v>1751</v>
      </c>
      <c r="C52" s="16" t="s">
        <v>998</v>
      </c>
      <c r="D52" s="18" t="s">
        <v>1023</v>
      </c>
      <c r="E52" s="18" t="s">
        <v>1163</v>
      </c>
      <c r="F52" s="19">
        <v>45301</v>
      </c>
      <c r="G52" s="19" t="s">
        <v>1924</v>
      </c>
    </row>
    <row r="53" spans="1:7" ht="89.25" x14ac:dyDescent="0.2">
      <c r="A53" s="16" t="s">
        <v>4321</v>
      </c>
      <c r="B53" s="16" t="s">
        <v>1044</v>
      </c>
      <c r="C53" s="16" t="s">
        <v>998</v>
      </c>
      <c r="D53" s="18" t="s">
        <v>1909</v>
      </c>
      <c r="E53" s="18" t="s">
        <v>4362</v>
      </c>
      <c r="F53" s="19">
        <v>45358</v>
      </c>
      <c r="G53" s="19" t="s">
        <v>4363</v>
      </c>
    </row>
    <row r="54" spans="1:7" ht="63.75" x14ac:dyDescent="0.2">
      <c r="A54" s="16" t="s">
        <v>4208</v>
      </c>
      <c r="B54" s="16" t="s">
        <v>1043</v>
      </c>
      <c r="C54" s="16" t="s">
        <v>998</v>
      </c>
      <c r="D54" s="18" t="s">
        <v>2981</v>
      </c>
      <c r="E54" s="18" t="s">
        <v>4211</v>
      </c>
      <c r="F54" s="19">
        <v>45358</v>
      </c>
      <c r="G54" s="19" t="s">
        <v>4212</v>
      </c>
    </row>
    <row r="55" spans="1:7" x14ac:dyDescent="0.2">
      <c r="A55" s="16" t="s">
        <v>2901</v>
      </c>
      <c r="B55" s="16" t="s">
        <v>1051</v>
      </c>
      <c r="C55" s="16" t="s">
        <v>998</v>
      </c>
      <c r="D55" s="18" t="s">
        <v>1023</v>
      </c>
      <c r="E55" s="18" t="s">
        <v>1163</v>
      </c>
      <c r="F55" s="19">
        <v>45314</v>
      </c>
      <c r="G55" s="19" t="s">
        <v>2904</v>
      </c>
    </row>
    <row r="56" spans="1:7" ht="76.5" x14ac:dyDescent="0.2">
      <c r="A56" s="16" t="s">
        <v>4379</v>
      </c>
      <c r="B56" s="16" t="s">
        <v>1035</v>
      </c>
      <c r="C56" s="16" t="s">
        <v>998</v>
      </c>
      <c r="D56" s="18" t="s">
        <v>4320</v>
      </c>
      <c r="E56" s="18" t="s">
        <v>4429</v>
      </c>
      <c r="F56" s="19">
        <v>45361</v>
      </c>
      <c r="G56" s="19" t="s">
        <v>4430</v>
      </c>
    </row>
    <row r="57" spans="1:7" ht="25.5" x14ac:dyDescent="0.2">
      <c r="A57" s="16" t="s">
        <v>1910</v>
      </c>
      <c r="B57" s="16" t="s">
        <v>1010</v>
      </c>
      <c r="C57" s="16" t="s">
        <v>998</v>
      </c>
      <c r="D57" s="18" t="s">
        <v>1909</v>
      </c>
      <c r="E57" s="18" t="s">
        <v>1913</v>
      </c>
      <c r="F57" s="19">
        <v>45300</v>
      </c>
      <c r="G57" s="19" t="s">
        <v>1914</v>
      </c>
    </row>
    <row r="58" spans="1:7" ht="38.25" x14ac:dyDescent="0.2">
      <c r="A58" s="16" t="s">
        <v>3160</v>
      </c>
      <c r="B58" s="16" t="s">
        <v>1026</v>
      </c>
      <c r="C58" s="16" t="s">
        <v>998</v>
      </c>
      <c r="D58" s="18" t="s">
        <v>1016</v>
      </c>
      <c r="E58" s="18" t="s">
        <v>3184</v>
      </c>
      <c r="F58" s="19">
        <v>45336</v>
      </c>
      <c r="G58" s="19" t="s">
        <v>3185</v>
      </c>
    </row>
    <row r="59" spans="1:7" ht="25.5" x14ac:dyDescent="0.2">
      <c r="A59" s="16" t="s">
        <v>1040</v>
      </c>
      <c r="B59" s="16" t="s">
        <v>1041</v>
      </c>
      <c r="C59" s="16" t="s">
        <v>1005</v>
      </c>
      <c r="D59" s="18" t="s">
        <v>1158</v>
      </c>
      <c r="E59" s="18" t="s">
        <v>1158</v>
      </c>
      <c r="F59" s="19">
        <v>45280</v>
      </c>
      <c r="G59" s="19">
        <v>45280</v>
      </c>
    </row>
    <row r="60" spans="1:7" x14ac:dyDescent="0.2">
      <c r="A60" s="16" t="s">
        <v>1485</v>
      </c>
      <c r="B60" s="16" t="s">
        <v>1041</v>
      </c>
      <c r="C60" s="16" t="s">
        <v>998</v>
      </c>
      <c r="D60" s="18" t="s">
        <v>1023</v>
      </c>
      <c r="E60" s="18" t="s">
        <v>1163</v>
      </c>
      <c r="F60" s="19">
        <v>45270</v>
      </c>
      <c r="G60" s="19" t="s">
        <v>1476</v>
      </c>
    </row>
    <row r="61" spans="1:7" ht="25.5" x14ac:dyDescent="0.2">
      <c r="A61" s="16" t="s">
        <v>1024</v>
      </c>
      <c r="B61" s="16" t="s">
        <v>1025</v>
      </c>
      <c r="C61" s="16" t="s">
        <v>1005</v>
      </c>
      <c r="D61" s="18" t="s">
        <v>1158</v>
      </c>
      <c r="E61" s="18" t="s">
        <v>1158</v>
      </c>
      <c r="F61" s="19">
        <v>45298</v>
      </c>
      <c r="G61" s="19">
        <v>45298</v>
      </c>
    </row>
    <row r="62" spans="1:7" x14ac:dyDescent="0.2">
      <c r="A62" s="16" t="s">
        <v>3159</v>
      </c>
      <c r="B62" s="16" t="s">
        <v>2983</v>
      </c>
      <c r="C62" s="16" t="s">
        <v>998</v>
      </c>
      <c r="D62" s="18" t="s">
        <v>999</v>
      </c>
      <c r="E62" s="18" t="s">
        <v>3186</v>
      </c>
      <c r="F62" s="19">
        <v>45324</v>
      </c>
      <c r="G62" s="19" t="s">
        <v>3187</v>
      </c>
    </row>
    <row r="63" spans="1:7" ht="25.5" x14ac:dyDescent="0.2">
      <c r="A63" s="16" t="s">
        <v>3829</v>
      </c>
      <c r="B63" s="16" t="s">
        <v>3830</v>
      </c>
      <c r="C63" s="16" t="s">
        <v>1005</v>
      </c>
      <c r="D63" s="18" t="s">
        <v>1158</v>
      </c>
      <c r="E63" s="18" t="s">
        <v>1158</v>
      </c>
      <c r="F63" s="19">
        <v>45348</v>
      </c>
      <c r="G63" s="19">
        <v>45348</v>
      </c>
    </row>
    <row r="64" spans="1:7" x14ac:dyDescent="0.2">
      <c r="A64" s="16" t="s">
        <v>4171</v>
      </c>
      <c r="B64" s="16" t="s">
        <v>4172</v>
      </c>
      <c r="C64" s="16" t="s">
        <v>998</v>
      </c>
      <c r="D64" s="18" t="s">
        <v>999</v>
      </c>
      <c r="E64" s="18" t="s">
        <v>999</v>
      </c>
      <c r="F64" s="19">
        <v>45358</v>
      </c>
      <c r="G64" s="19">
        <v>45358</v>
      </c>
    </row>
    <row r="65" spans="4:4" x14ac:dyDescent="0.2">
      <c r="D65" s="16"/>
    </row>
  </sheetData>
  <autoFilter ref="A1:G1" xr:uid="{4DF1D894-2498-45C7-AECD-E3A650315E83}">
    <sortState xmlns:xlrd2="http://schemas.microsoft.com/office/spreadsheetml/2017/richdata2" ref="A2:G64">
      <sortCondition ref="A1"/>
    </sortState>
  </autoFilter>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4048A-2BB2-41CD-B98C-25807F58A81F}">
  <sheetPr codeName="Sheet6"/>
  <dimension ref="A1"/>
  <sheetViews>
    <sheetView workbookViewId="0"/>
  </sheetViews>
  <sheetFormatPr defaultRowHeight="12.75" x14ac:dyDescent="0.2"/>
  <cols>
    <col min="1" max="1" width="80.7109375" customWidth="1"/>
  </cols>
  <sheetData>
    <row r="1" spans="1:1" ht="165.75" x14ac:dyDescent="0.2">
      <c r="A1" s="16" t="s">
        <v>4026</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C4BA8-4945-4116-B96E-775D7EFA243E}">
  <sheetPr codeName="Sheet13"/>
  <dimension ref="A1:K7"/>
  <sheetViews>
    <sheetView workbookViewId="0">
      <selection activeCell="M24" sqref="M24"/>
    </sheetView>
  </sheetViews>
  <sheetFormatPr defaultRowHeight="14.1" customHeight="1" x14ac:dyDescent="0.2"/>
  <cols>
    <col min="1" max="1" width="2.7109375" customWidth="1"/>
    <col min="2" max="2" width="15.7109375" customWidth="1"/>
    <col min="3" max="4" width="2.7109375" customWidth="1"/>
    <col min="5" max="5" width="15.7109375" customWidth="1"/>
    <col min="6" max="7" width="2.7109375" customWidth="1"/>
    <col min="8" max="8" width="15.7109375" customWidth="1"/>
    <col min="9" max="10" width="2.7109375" customWidth="1"/>
    <col min="11" max="11" width="15.7109375" customWidth="1"/>
    <col min="12" max="12" width="2.7109375" customWidth="1"/>
  </cols>
  <sheetData>
    <row r="1" spans="1:11" ht="14.1" customHeight="1" x14ac:dyDescent="0.2">
      <c r="A1" t="s">
        <v>217</v>
      </c>
      <c r="B1" s="4" t="s">
        <v>343</v>
      </c>
      <c r="D1" t="s">
        <v>232</v>
      </c>
      <c r="E1" s="344" t="s">
        <v>382</v>
      </c>
      <c r="G1" t="s">
        <v>223</v>
      </c>
      <c r="H1" s="346" t="s">
        <v>3802</v>
      </c>
      <c r="J1" t="s">
        <v>255</v>
      </c>
      <c r="K1" s="350" t="s">
        <v>4015</v>
      </c>
    </row>
    <row r="2" spans="1:11" ht="14.1" customHeight="1" x14ac:dyDescent="0.2">
      <c r="A2" t="s">
        <v>233</v>
      </c>
      <c r="B2" s="306" t="s">
        <v>407</v>
      </c>
      <c r="D2" t="s">
        <v>230</v>
      </c>
      <c r="E2" s="1" t="s">
        <v>274</v>
      </c>
      <c r="G2" t="s">
        <v>222</v>
      </c>
      <c r="H2" s="312" t="s">
        <v>4009</v>
      </c>
      <c r="J2" t="s">
        <v>254</v>
      </c>
      <c r="K2" s="351" t="s">
        <v>281</v>
      </c>
    </row>
    <row r="3" spans="1:11" ht="14.1" customHeight="1" x14ac:dyDescent="0.2">
      <c r="A3" t="s">
        <v>227</v>
      </c>
      <c r="B3" s="305" t="s">
        <v>1171</v>
      </c>
      <c r="D3" t="s">
        <v>231</v>
      </c>
      <c r="E3" s="5" t="s">
        <v>276</v>
      </c>
      <c r="G3" t="s">
        <v>229</v>
      </c>
      <c r="H3" s="345" t="s">
        <v>4012</v>
      </c>
      <c r="J3" t="s">
        <v>235</v>
      </c>
      <c r="K3" s="311" t="s">
        <v>282</v>
      </c>
    </row>
    <row r="4" spans="1:11" ht="14.1" customHeight="1" x14ac:dyDescent="0.2">
      <c r="A4" t="s">
        <v>218</v>
      </c>
      <c r="B4" s="307" t="s">
        <v>4007</v>
      </c>
      <c r="D4" t="s">
        <v>220</v>
      </c>
      <c r="E4" s="3" t="s">
        <v>278</v>
      </c>
      <c r="G4" t="s">
        <v>234</v>
      </c>
      <c r="H4" s="302" t="s">
        <v>3798</v>
      </c>
      <c r="J4" t="s">
        <v>251</v>
      </c>
      <c r="K4" s="352" t="s">
        <v>347</v>
      </c>
    </row>
    <row r="5" spans="1:11" ht="14.1" customHeight="1" x14ac:dyDescent="0.2">
      <c r="A5" t="s">
        <v>228</v>
      </c>
      <c r="B5" s="303" t="s">
        <v>4008</v>
      </c>
      <c r="D5" t="s">
        <v>219</v>
      </c>
      <c r="E5" s="308" t="s">
        <v>402</v>
      </c>
      <c r="G5" t="s">
        <v>238</v>
      </c>
      <c r="H5" s="309" t="s">
        <v>411</v>
      </c>
      <c r="J5" t="s">
        <v>243</v>
      </c>
      <c r="K5" s="343" t="s">
        <v>353</v>
      </c>
    </row>
    <row r="6" spans="1:11" ht="14.1" customHeight="1" x14ac:dyDescent="0.2">
      <c r="A6" t="s">
        <v>224</v>
      </c>
      <c r="B6" s="304" t="s">
        <v>4006</v>
      </c>
      <c r="D6" t="s">
        <v>226</v>
      </c>
      <c r="E6" s="347" t="s">
        <v>273</v>
      </c>
      <c r="G6" t="s">
        <v>239</v>
      </c>
      <c r="H6" s="310" t="s">
        <v>4010</v>
      </c>
      <c r="J6" t="s">
        <v>207</v>
      </c>
      <c r="K6" s="301" t="s">
        <v>351</v>
      </c>
    </row>
    <row r="7" spans="1:11" ht="14.1" customHeight="1" x14ac:dyDescent="0.2">
      <c r="A7" t="s">
        <v>221</v>
      </c>
      <c r="B7" s="313" t="s">
        <v>1172</v>
      </c>
      <c r="D7" t="s">
        <v>225</v>
      </c>
      <c r="E7" s="348" t="s">
        <v>284</v>
      </c>
      <c r="G7" t="s">
        <v>256</v>
      </c>
      <c r="H7" s="349" t="s">
        <v>4017</v>
      </c>
      <c r="J7" t="s">
        <v>253</v>
      </c>
      <c r="K7" s="353" t="s">
        <v>283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Working</vt:lpstr>
      <vt:lpstr>rgbName</vt:lpstr>
      <vt:lpstr>UsedColors</vt:lpstr>
      <vt:lpstr>SwatchList</vt:lpstr>
      <vt:lpstr>ImageFilters</vt:lpstr>
      <vt:lpstr>SYSPARM</vt:lpstr>
      <vt:lpstr>Palette</vt:lpstr>
      <vt:lpstr>Log</vt:lpstr>
      <vt:lpstr>CALLS</vt:lpstr>
      <vt:lpstr>MODULES</vt:lpstr>
      <vt:lpstr>PrintSheet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Hook Rug Pattern tool</dc:title>
  <dc:creator>Andy Blair</dc:creator>
  <cp:lastModifiedBy>Andy Blair</cp:lastModifiedBy>
  <cp:lastPrinted>2024-02-29T16:11:04Z</cp:lastPrinted>
  <dcterms:created xsi:type="dcterms:W3CDTF">2020-08-23T16:37:17Z</dcterms:created>
  <dcterms:modified xsi:type="dcterms:W3CDTF">2024-03-11T15:46:34Z</dcterms:modified>
</cp:coreProperties>
</file>